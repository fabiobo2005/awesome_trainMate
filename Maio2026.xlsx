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781134c3357a42/Desktop/Assessoria/"/>
    </mc:Choice>
  </mc:AlternateContent>
  <xr:revisionPtr revIDLastSave="0" documentId="8_{321BBA32-85F1-4367-BC65-0648A4E42185}" xr6:coauthVersionLast="47" xr6:coauthVersionMax="47" xr10:uidLastSave="{00000000-0000-0000-0000-000000000000}"/>
  <bookViews>
    <workbookView xWindow="-120" yWindow="-120" windowWidth="20730" windowHeight="11160" activeTab="5" xr2:uid="{D96804C2-4815-4B6A-9FBB-94B1EEB45D52}"/>
  </bookViews>
  <sheets>
    <sheet name="Amarelo" sheetId="1" r:id="rId1"/>
    <sheet name="Verde" sheetId="2" r:id="rId2"/>
    <sheet name="Vermelho" sheetId="12" r:id="rId3"/>
    <sheet name="Laranja" sheetId="3" r:id="rId4"/>
    <sheet name="Azul" sheetId="13" r:id="rId5"/>
    <sheet name="Cardiorrespiratório" sheetId="14" r:id="rId6"/>
    <sheet name="Sistemas e Métodos" sheetId="10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2" i="12" l="1"/>
  <c r="I38" i="12"/>
  <c r="I24" i="12"/>
  <c r="I9" i="12"/>
  <c r="I51" i="13"/>
  <c r="I37" i="13"/>
  <c r="I23" i="13"/>
  <c r="I9" i="13"/>
  <c r="I51" i="2"/>
  <c r="I37" i="2"/>
  <c r="I23" i="2"/>
  <c r="I9" i="2"/>
  <c r="I51" i="3"/>
  <c r="I52" i="3"/>
  <c r="I37" i="3"/>
  <c r="I38" i="3"/>
  <c r="I23" i="3"/>
  <c r="I24" i="3"/>
  <c r="I9" i="3"/>
  <c r="I8" i="3"/>
  <c r="I51" i="12"/>
  <c r="I38" i="1"/>
  <c r="I24" i="1"/>
  <c r="I9" i="1"/>
  <c r="E39" i="2"/>
  <c r="I17" i="13"/>
  <c r="I18" i="13"/>
  <c r="I19" i="13"/>
  <c r="I20" i="13"/>
  <c r="I21" i="13"/>
  <c r="I22" i="13"/>
  <c r="I36" i="13"/>
  <c r="I35" i="13"/>
  <c r="I34" i="13"/>
  <c r="I33" i="13"/>
  <c r="I32" i="13"/>
  <c r="I31" i="13"/>
  <c r="C53" i="13"/>
  <c r="I50" i="13"/>
  <c r="I49" i="13"/>
  <c r="I48" i="13"/>
  <c r="I47" i="13"/>
  <c r="I46" i="13"/>
  <c r="I45" i="13"/>
  <c r="E53" i="13" s="1"/>
  <c r="C39" i="13"/>
  <c r="C25" i="13"/>
  <c r="C11" i="13"/>
  <c r="I8" i="13"/>
  <c r="I7" i="13"/>
  <c r="I6" i="13"/>
  <c r="I5" i="13"/>
  <c r="I4" i="13"/>
  <c r="I3" i="13"/>
  <c r="C54" i="12"/>
  <c r="I50" i="12"/>
  <c r="I49" i="12"/>
  <c r="I48" i="12"/>
  <c r="I47" i="12"/>
  <c r="I46" i="12"/>
  <c r="C40" i="12"/>
  <c r="I37" i="12"/>
  <c r="I36" i="12"/>
  <c r="I35" i="12"/>
  <c r="I34" i="12"/>
  <c r="I33" i="12"/>
  <c r="I32" i="12"/>
  <c r="E40" i="12" s="1"/>
  <c r="C26" i="12"/>
  <c r="I23" i="12"/>
  <c r="I22" i="12"/>
  <c r="I21" i="12"/>
  <c r="I20" i="12"/>
  <c r="I19" i="12"/>
  <c r="I18" i="12"/>
  <c r="C12" i="12"/>
  <c r="I8" i="12"/>
  <c r="I7" i="12"/>
  <c r="I6" i="12"/>
  <c r="I5" i="12"/>
  <c r="I4" i="12"/>
  <c r="I3" i="12"/>
  <c r="E39" i="13" l="1"/>
  <c r="E11" i="13"/>
  <c r="E54" i="12"/>
  <c r="E26" i="12"/>
  <c r="E12" i="12"/>
  <c r="E25" i="13"/>
  <c r="I18" i="1"/>
  <c r="I19" i="1"/>
  <c r="I20" i="1"/>
  <c r="I21" i="1"/>
  <c r="I22" i="1"/>
  <c r="I23" i="1"/>
  <c r="E26" i="1" l="1"/>
  <c r="I3" i="1"/>
  <c r="I4" i="1"/>
  <c r="I5" i="1"/>
  <c r="I6" i="1"/>
  <c r="I7" i="1"/>
  <c r="I8" i="1"/>
  <c r="I46" i="1"/>
  <c r="I47" i="1"/>
  <c r="I48" i="1"/>
  <c r="I49" i="1"/>
  <c r="I50" i="1"/>
  <c r="I18" i="3"/>
  <c r="I19" i="3"/>
  <c r="I20" i="3"/>
  <c r="I21" i="3"/>
  <c r="I22" i="3"/>
  <c r="I46" i="3"/>
  <c r="I47" i="3"/>
  <c r="I48" i="3"/>
  <c r="I50" i="3"/>
  <c r="I49" i="3"/>
  <c r="I32" i="3"/>
  <c r="I33" i="3"/>
  <c r="I34" i="3"/>
  <c r="I35" i="3"/>
  <c r="I36" i="3"/>
  <c r="I3" i="3"/>
  <c r="I4" i="3"/>
  <c r="I5" i="3"/>
  <c r="I6" i="3"/>
  <c r="I7" i="3"/>
  <c r="C26" i="3"/>
  <c r="I50" i="2"/>
  <c r="I49" i="2"/>
  <c r="I48" i="2"/>
  <c r="I47" i="2"/>
  <c r="I46" i="2"/>
  <c r="I45" i="2"/>
  <c r="I36" i="2"/>
  <c r="I35" i="2"/>
  <c r="I34" i="2"/>
  <c r="I33" i="2"/>
  <c r="I32" i="2"/>
  <c r="I31" i="2"/>
  <c r="I22" i="2"/>
  <c r="I21" i="2"/>
  <c r="I20" i="2"/>
  <c r="I19" i="2"/>
  <c r="I18" i="2"/>
  <c r="I17" i="2"/>
  <c r="I37" i="1"/>
  <c r="I36" i="1"/>
  <c r="I35" i="1"/>
  <c r="I34" i="1"/>
  <c r="I33" i="1"/>
  <c r="I32" i="1"/>
  <c r="C54" i="3"/>
  <c r="C40" i="3"/>
  <c r="C12" i="3"/>
  <c r="C53" i="2"/>
  <c r="C39" i="2"/>
  <c r="C25" i="2"/>
  <c r="C11" i="2"/>
  <c r="C54" i="1"/>
  <c r="C40" i="1"/>
  <c r="C26" i="1"/>
  <c r="C12" i="1"/>
  <c r="I3" i="2"/>
  <c r="I4" i="2"/>
  <c r="I5" i="2"/>
  <c r="I6" i="2"/>
  <c r="I7" i="2"/>
  <c r="I8" i="2"/>
  <c r="E54" i="3" l="1"/>
  <c r="E40" i="3"/>
  <c r="E26" i="3"/>
  <c r="E12" i="3"/>
  <c r="E53" i="2"/>
  <c r="E25" i="2"/>
  <c r="E40" i="1"/>
  <c r="E54" i="1"/>
  <c r="E11" i="2"/>
  <c r="E12" i="1"/>
</calcChain>
</file>

<file path=xl/sharedStrings.xml><?xml version="1.0" encoding="utf-8"?>
<sst xmlns="http://schemas.openxmlformats.org/spreadsheetml/2006/main" count="711" uniqueCount="120">
  <si>
    <t xml:space="preserve">Exercícios </t>
  </si>
  <si>
    <t xml:space="preserve">Séries </t>
  </si>
  <si>
    <t>Repetições</t>
  </si>
  <si>
    <t xml:space="preserve">Cadência </t>
  </si>
  <si>
    <t xml:space="preserve">Intervalo </t>
  </si>
  <si>
    <t xml:space="preserve">Método </t>
  </si>
  <si>
    <t xml:space="preserve">Observações </t>
  </si>
  <si>
    <t>Carga (kg)</t>
  </si>
  <si>
    <t>Percepção Subjetiva de Esforço</t>
  </si>
  <si>
    <t xml:space="preserve">Unidades Arbitrárias </t>
  </si>
  <si>
    <t xml:space="preserve">Tempo da sessão em minutos  </t>
  </si>
  <si>
    <t xml:space="preserve">Carga total da sessão </t>
  </si>
  <si>
    <t>Séries M.</t>
  </si>
  <si>
    <t>Load</t>
  </si>
  <si>
    <t xml:space="preserve">Carga Total da sessão </t>
  </si>
  <si>
    <t>Alternado por grupo muscular - Treino 1 - 1ºMicrociclo</t>
  </si>
  <si>
    <t>Alternado por grupo muscular - Treino 1 - 4ºMicrociclo</t>
  </si>
  <si>
    <t>Alternado por grupo muscular - Treino 1 - 3ºMicrociclo</t>
  </si>
  <si>
    <t>Alternado por grupo muscular - Treino 1 - 2ºMicrociclo</t>
  </si>
  <si>
    <t xml:space="preserve">Alternado por grupo muscular - Treino 2 - 1ºMicrociclo </t>
  </si>
  <si>
    <t xml:space="preserve">Alternado por grupo muscular - Treino 2 - 2ºMicrociclo </t>
  </si>
  <si>
    <t xml:space="preserve">Alternado por grupo muscular - Treino 2 - 3ºMicrociclo </t>
  </si>
  <si>
    <t xml:space="preserve">Alternado por grupo muscular - Treino 2 - 4ºMicrociclo </t>
  </si>
  <si>
    <t>Alternado por grupo muscular - Treino 3 - 1ºMicrociclo</t>
  </si>
  <si>
    <t>Alternado por grupo muscular - Treino 3 - 3ºMicrociclo</t>
  </si>
  <si>
    <t>Alternado por grupo muscular - Treino 3 - 4ºMicrociclo</t>
  </si>
  <si>
    <t>SISTEMAS E MÉTODOS DE TREINAMENTO: UMA FORMA SIMPLES DE INTERPRETAR O SEU TREINO.</t>
  </si>
  <si>
    <r>
      <rPr>
        <b/>
        <sz val="11"/>
        <color theme="1"/>
        <rFont val="Calibri"/>
        <family val="2"/>
        <scheme val="minor"/>
      </rPr>
      <t>TRI-SET</t>
    </r>
    <r>
      <rPr>
        <sz val="11"/>
        <color theme="1"/>
        <rFont val="Calibri"/>
        <family val="2"/>
        <scheme val="minor"/>
      </rPr>
      <t>: são três exercícios para compor uma série, ou seja, faça o primeiro exercício, logo em seguida o segundo e o terceiro sem descanso, após finalizar o terceiro, realize o intervalo de descanso prescrito</t>
    </r>
  </si>
  <si>
    <r>
      <rPr>
        <b/>
        <sz val="11"/>
        <color theme="1"/>
        <rFont val="Calibri"/>
        <family val="2"/>
        <scheme val="minor"/>
      </rPr>
      <t>BI-SET</t>
    </r>
    <r>
      <rPr>
        <sz val="11"/>
        <color theme="1"/>
        <rFont val="Calibri"/>
        <family val="2"/>
        <scheme val="minor"/>
      </rPr>
      <t>: consiste em realizar dois exercícios para compor uma série. Após o término do segundo exercício, realize o descanso que está na sua prescrição.</t>
    </r>
  </si>
  <si>
    <r>
      <rPr>
        <b/>
        <sz val="11"/>
        <color theme="1"/>
        <rFont val="Calibri"/>
        <family val="2"/>
        <scheme val="minor"/>
      </rPr>
      <t>Ondulatório</t>
    </r>
    <r>
      <rPr>
        <sz val="11"/>
        <color theme="1"/>
        <rFont val="Calibri"/>
        <family val="2"/>
        <scheme val="minor"/>
      </rPr>
      <t>: sistema caracterizado por variação entre repetições e peso dentro da mesma série, ocorrendo essa oscilação de forma sequenciada (p.ex., 5RM + 15RM ou 6RM + 15RM)</t>
    </r>
  </si>
  <si>
    <r>
      <rPr>
        <b/>
        <sz val="11"/>
        <color theme="1"/>
        <rFont val="Calibri"/>
        <family val="2"/>
        <scheme val="minor"/>
      </rPr>
      <t>Exaustão</t>
    </r>
    <r>
      <rPr>
        <sz val="11"/>
        <color theme="1"/>
        <rFont val="Calibri"/>
        <family val="2"/>
        <scheme val="minor"/>
      </rPr>
      <t>: o sistema consiste em realizar todas as séries até a falha concêntrica momentânea sem oscilar o número de repetições (p.ex., falhar sempre na 12º repetição com a carga condizente para 12)</t>
    </r>
  </si>
  <si>
    <r>
      <rPr>
        <b/>
        <sz val="11"/>
        <color theme="1"/>
        <rFont val="Calibri"/>
        <family val="2"/>
        <scheme val="minor"/>
      </rPr>
      <t>Super série 1</t>
    </r>
    <r>
      <rPr>
        <sz val="11"/>
        <color theme="1"/>
        <rFont val="Calibri"/>
        <family val="2"/>
        <scheme val="minor"/>
      </rPr>
      <t>: consiste em realizar quatro exercícios de preferência para o mesmo grupamento muscular sem descanso entre eles, após a realização do último, segue-se um intervalo de recuperação.</t>
    </r>
  </si>
  <si>
    <r>
      <rPr>
        <b/>
        <sz val="11"/>
        <color theme="1"/>
        <rFont val="Calibri"/>
        <family val="2"/>
        <scheme val="minor"/>
      </rPr>
      <t>Pirâmide 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é necessário o aumento da carga e consequentemente a redução do volume de repetições </t>
    </r>
  </si>
  <si>
    <r>
      <rPr>
        <b/>
        <sz val="11"/>
        <color theme="1"/>
        <rFont val="Calibri"/>
        <family val="2"/>
        <scheme val="minor"/>
      </rPr>
      <t>Pirâmide decrescente</t>
    </r>
    <r>
      <rPr>
        <sz val="11"/>
        <color theme="1"/>
        <rFont val="Calibri"/>
        <family val="2"/>
        <scheme val="minor"/>
      </rPr>
      <t xml:space="preserve">: consiste em realizar séries múltiplas, com intervalos entre elas, e a cada intervalo, haverá redução da carga e o aumento do volume de repetições </t>
    </r>
  </si>
  <si>
    <r>
      <rPr>
        <b/>
        <sz val="11"/>
        <color theme="1"/>
        <rFont val="Calibri"/>
        <family val="2"/>
        <scheme val="minor"/>
      </rPr>
      <t>Repetições forçadas e/ou "roubadas"</t>
    </r>
    <r>
      <rPr>
        <sz val="11"/>
        <color theme="1"/>
        <rFont val="Calibri"/>
        <family val="2"/>
        <scheme val="minor"/>
      </rPr>
      <t>: consiste em realizar um exercício até à falha concêntrica de forma natural e ao perceber a fadiga neuromuscular, use outro segmento corporal para forçar 3 repetições</t>
    </r>
  </si>
  <si>
    <r>
      <rPr>
        <b/>
        <sz val="11"/>
        <color theme="1"/>
        <rFont val="Calibri"/>
        <family val="2"/>
        <scheme val="minor"/>
      </rPr>
      <t>Excêntrico</t>
    </r>
    <r>
      <rPr>
        <sz val="11"/>
        <color theme="1"/>
        <rFont val="Calibri"/>
        <family val="2"/>
        <scheme val="minor"/>
      </rPr>
      <t>: consiste na realização da fase excêntrica feita pelo aluno(a), sendo que a fase concêntrica é feita por um parceiro(a) de treino. Cargas são acima de 100% de 1RM.</t>
    </r>
  </si>
  <si>
    <r>
      <rPr>
        <b/>
        <sz val="11"/>
        <color theme="1"/>
        <rFont val="Calibri"/>
        <family val="2"/>
        <scheme val="minor"/>
      </rPr>
      <t>GVT</t>
    </r>
    <r>
      <rPr>
        <sz val="11"/>
        <color theme="1"/>
        <rFont val="Calibri"/>
        <family val="2"/>
        <scheme val="minor"/>
      </rPr>
      <t>: método utilizado para potencializar a hipertrofia. Consiste em realizar 1 ou 2 exercícios preferência agonista e antagonista, com 10 séries de 10RM com cargas até 60% de 1RM. O intervalo é curto (30'') e haverá redução da carga se o indivíduo não conseguir realizar 10 repetições.</t>
    </r>
  </si>
  <si>
    <r>
      <rPr>
        <b/>
        <i/>
        <sz val="11"/>
        <color theme="1"/>
        <rFont val="Calibri"/>
        <family val="2"/>
        <scheme val="minor"/>
      </rPr>
      <t>Drop-set</t>
    </r>
    <r>
      <rPr>
        <sz val="11"/>
        <color theme="1"/>
        <rFont val="Calibri"/>
        <family val="2"/>
        <scheme val="minor"/>
      </rPr>
      <t xml:space="preserve">: sistema caracterizado por uma definição inicial do número de repetições em RM. Após a realização do número de repetições, imediatamente haverá a redução de 20-40% da carga e o individuo fará novamente até a falha concêntrica </t>
    </r>
  </si>
  <si>
    <r>
      <rPr>
        <b/>
        <i/>
        <sz val="11"/>
        <color theme="1"/>
        <rFont val="Calibri"/>
        <family val="2"/>
        <scheme val="minor"/>
      </rPr>
      <t>Rest- Pause</t>
    </r>
    <r>
      <rPr>
        <sz val="11"/>
        <color theme="1"/>
        <rFont val="Calibri"/>
        <family val="2"/>
        <scheme val="minor"/>
      </rPr>
      <t xml:space="preserve">: Após realizar uma série proposta pelo treinador, descanse 20'' e realize novamente até a falha, descanse mais 20'' e faça de novo até a falha. Não haverá redução da carga.  </t>
    </r>
  </si>
  <si>
    <r>
      <rPr>
        <b/>
        <sz val="11"/>
        <color theme="1"/>
        <rFont val="Calibri"/>
        <family val="2"/>
        <scheme val="minor"/>
      </rPr>
      <t>FST-7</t>
    </r>
    <r>
      <rPr>
        <sz val="11"/>
        <color theme="1"/>
        <rFont val="Calibri"/>
        <family val="2"/>
        <scheme val="minor"/>
      </rPr>
      <t>: realize sete séries com intervalos curtos entre 30-45''. Objetivo é estimular o alongamento da fáscia muscular.</t>
    </r>
  </si>
  <si>
    <r>
      <rPr>
        <b/>
        <sz val="11"/>
        <color theme="1"/>
        <rFont val="Calibri"/>
        <family val="2"/>
        <scheme val="minor"/>
      </rPr>
      <t>SST</t>
    </r>
    <r>
      <rPr>
        <sz val="11"/>
        <color theme="1"/>
        <rFont val="Calibri"/>
        <family val="2"/>
        <scheme val="minor"/>
      </rPr>
      <t>: consiste em realizar 8 repetições máximas. Após isso, descanse 10'' e faça novamente, haverá uma redução do volume de repetições. Quando chegar em apenas 1 movimento, faça a redução de 20% da carga e repita o procedimento até chegar novamente em 1 movimento máximo.</t>
    </r>
  </si>
  <si>
    <r>
      <rPr>
        <b/>
        <sz val="11"/>
        <color theme="1"/>
        <rFont val="Calibri"/>
        <family val="2"/>
        <scheme val="minor"/>
      </rPr>
      <t>Sistema 3/7</t>
    </r>
    <r>
      <rPr>
        <sz val="11"/>
        <color theme="1"/>
        <rFont val="Calibri"/>
        <family val="2"/>
        <scheme val="minor"/>
      </rPr>
      <t xml:space="preserve">: consiste numa progressão de repetições com a mesma carga (p.ex., realizar 3 repetições e descansar 10'', realizar 4 repetições e descansar 10''... Até chegar a sétima repetição para haver o descanso completo </t>
    </r>
  </si>
  <si>
    <t>Piram. Cresc.</t>
  </si>
  <si>
    <t>Alternado por grupo muscular - Treino 4 - 3ºMicrociclo</t>
  </si>
  <si>
    <t xml:space="preserve">Séries M. </t>
  </si>
  <si>
    <t xml:space="preserve">Intensidade </t>
  </si>
  <si>
    <t xml:space="preserve">Volume </t>
  </si>
  <si>
    <t>PSE (dar nota)</t>
  </si>
  <si>
    <t xml:space="preserve">Vigorosa </t>
  </si>
  <si>
    <t>Coluna1</t>
  </si>
  <si>
    <t>Coluna2</t>
  </si>
  <si>
    <t>Coluna3</t>
  </si>
  <si>
    <t>Coluna4</t>
  </si>
  <si>
    <t>BI-SET</t>
  </si>
  <si>
    <t xml:space="preserve">Digite a nota do esforço na coluna PSE </t>
  </si>
  <si>
    <t>Alternado por grupo muscular - Treino 3- 2ºMicrociclo</t>
  </si>
  <si>
    <t>Alternado por grupo muscular - Treino 4 - 2ºMicrociclo</t>
  </si>
  <si>
    <t>Alternado por grupo muscular - Treino 4 - 1ºMicrociclo</t>
  </si>
  <si>
    <t>Alternado por grupo muscular - Treino 5 - 1ºMicrociclo</t>
  </si>
  <si>
    <t>Alternado por grupo muscular - Treino 5 - 2ºMicrociclo</t>
  </si>
  <si>
    <t>Alternado por grupo muscular - Treino 5 - 3ºMicrociclo</t>
  </si>
  <si>
    <t>Alternado por grupo muscular - Treino 5 - 4ºMicrociclo</t>
  </si>
  <si>
    <t>Leve/Mod.</t>
  </si>
  <si>
    <t xml:space="preserve">Aeróbio contínuo de intensidade leve/moderada de forma contínua em ESCADA ERGOMÉTRICA </t>
  </si>
  <si>
    <t xml:space="preserve">TREINAMENTO INTERVALADO EM ESTEIRA </t>
  </si>
  <si>
    <t xml:space="preserve">Ponto Zero </t>
  </si>
  <si>
    <t>11 tiros de PSE 9 a 1' : recup. 1' 5&lt;KM/H</t>
  </si>
  <si>
    <t>10 tiros de PSE 8 a 1' : recup. 1' 5&lt;KM/H</t>
  </si>
  <si>
    <t>12 tiros de PSE 10 a 1' : recup. 1' 5&lt;KM/H</t>
  </si>
  <si>
    <t>13 tiros de PSE 10 a 1' : recup. 1' 5&lt;KM/H</t>
  </si>
  <si>
    <t xml:space="preserve">AERÓBIO LONGO NA BICICLETA ERGOMÉTRICA </t>
  </si>
  <si>
    <t xml:space="preserve">Remada Unilateral </t>
  </si>
  <si>
    <t xml:space="preserve">Agachamento Smith </t>
  </si>
  <si>
    <t xml:space="preserve">Cadeira Abdutora </t>
  </si>
  <si>
    <t>1200 DEGRAUS ou 20'</t>
  </si>
  <si>
    <t>1400 DEGRAUS ou 25'</t>
  </si>
  <si>
    <t>1600 DEGRAUS ou 30'</t>
  </si>
  <si>
    <t>1800 DEGRAUS ou 35'</t>
  </si>
  <si>
    <t>30' ou 15km</t>
  </si>
  <si>
    <t>35' ou 18km</t>
  </si>
  <si>
    <t>40' ou 20km</t>
  </si>
  <si>
    <t>45' ou 23km</t>
  </si>
  <si>
    <t xml:space="preserve">Cadeira Adutora </t>
  </si>
  <si>
    <t xml:space="preserve">Push Up Trx </t>
  </si>
  <si>
    <t>Rolinho Abd.</t>
  </si>
  <si>
    <t>Supino Inclinado com Halteres</t>
  </si>
  <si>
    <t xml:space="preserve">Supino Reto Barra </t>
  </si>
  <si>
    <t xml:space="preserve">Paralela </t>
  </si>
  <si>
    <t xml:space="preserve">3 de reconhecimento </t>
  </si>
  <si>
    <t>Tríceps Polia cruzado supinado com estribo</t>
  </si>
  <si>
    <t xml:space="preserve">Aquecimento </t>
  </si>
  <si>
    <t xml:space="preserve">Desenvolvimento com Halteres </t>
  </si>
  <si>
    <t>Facepull</t>
  </si>
  <si>
    <t xml:space="preserve">Pulldown </t>
  </si>
  <si>
    <t xml:space="preserve">Puxada Unilateral </t>
  </si>
  <si>
    <t xml:space="preserve">Barra Fixa Neutro </t>
  </si>
  <si>
    <t>Rosca Banco 60º sentado</t>
  </si>
  <si>
    <t xml:space="preserve">Rosca Banco 60º em pé </t>
  </si>
  <si>
    <t xml:space="preserve">Recuo no colchonete </t>
  </si>
  <si>
    <t>Leg Press 45º</t>
  </si>
  <si>
    <t>Cadeira Extensora com variação biomecânica</t>
  </si>
  <si>
    <t xml:space="preserve">quadril fletido + estendido </t>
  </si>
  <si>
    <t xml:space="preserve">Banco Romano </t>
  </si>
  <si>
    <t xml:space="preserve">Stiff com barra pequena </t>
  </si>
  <si>
    <t xml:space="preserve">Cadeira Flexora excêntrica unilateral </t>
  </si>
  <si>
    <t>3 de reconhecimento</t>
  </si>
  <si>
    <t xml:space="preserve">2-3 de reconhecimento </t>
  </si>
  <si>
    <t xml:space="preserve">Remada Baixa Máquina </t>
  </si>
  <si>
    <t xml:space="preserve">Puxada Alta Máquina </t>
  </si>
  <si>
    <t>Supino Reto com barra</t>
  </si>
  <si>
    <t>Elevação Lateral com halteres</t>
  </si>
  <si>
    <t xml:space="preserve">Rosca Direta Barra W </t>
  </si>
  <si>
    <t>Tríceps Polia Barra V</t>
  </si>
  <si>
    <t>BI-SET E Piram. Cresc.</t>
  </si>
  <si>
    <t xml:space="preserve">Piram. Cresc. + Série de Saída </t>
  </si>
  <si>
    <t xml:space="preserve">Flexão Nórdica </t>
  </si>
  <si>
    <t>Levantamento Terra</t>
  </si>
  <si>
    <t xml:space="preserve">Leg Press Unilateral Horizontal </t>
  </si>
  <si>
    <t xml:space="preserve">Agachamento Hack </t>
  </si>
  <si>
    <t xml:space="preserve">Cadeira Extensora Unilateral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</si>
</sst>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4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/>
    <xf numFmtId="0" fontId="0" fillId="5" borderId="0" xfId="0" applyFill="1" applyAlignment="1">
      <alignment horizontal="center"/>
    </xf>
    <xf numFmtId="0" fontId="0" fillId="5" borderId="5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0" fillId="24" borderId="5" xfId="0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20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2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6" borderId="0" xfId="0" applyFont="1" applyFill="1" applyAlignment="1">
      <alignment horizontal="center"/>
    </xf>
    <xf numFmtId="0" fontId="3" fillId="19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21" borderId="5" xfId="0" applyFont="1" applyFill="1" applyBorder="1" applyAlignment="1">
      <alignment horizontal="center"/>
    </xf>
    <xf numFmtId="0" fontId="5" fillId="22" borderId="5" xfId="0" applyFont="1" applyFill="1" applyBorder="1" applyAlignment="1">
      <alignment horizontal="center"/>
    </xf>
    <xf numFmtId="0" fontId="1" fillId="23" borderId="5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12" borderId="0" xfId="0" applyFont="1" applyFill="1" applyAlignment="1">
      <alignment horizontal="center"/>
    </xf>
    <xf numFmtId="0" fontId="0" fillId="11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1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25" borderId="0" xfId="0" applyFill="1" applyAlignment="1">
      <alignment horizontal="center"/>
    </xf>
    <xf numFmtId="0" fontId="0" fillId="25" borderId="5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1" fillId="7" borderId="5" xfId="0" applyFont="1" applyFill="1" applyBorder="1" applyAlignment="1">
      <alignment horizontal="center"/>
    </xf>
  </cellXfs>
  <cellStyles count="2">
    <cellStyle name="Normal" xfId="0" builtinId="0"/>
    <cellStyle name="Normal 3" xfId="1" xr:uid="{4E47E37E-BC35-4956-ABEA-F6D74C0C8D7A}"/>
  </cellStyles>
  <dxfs count="277"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00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5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5" formatCode="hh:mm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rgb="FF00B0F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(Amarelo!$E$12,Amarelo!$E$26,Amarelo!$E$40,Amarelo!$E$54)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F5-4B5F-A438-0C7519E640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947984"/>
        <c:axId val="147916080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(Amarelo!$F$12,Amarelo!$F$26,Amarelo!$F$40,Amarelo!$F$54)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47F5-4B5F-A438-0C7519E64058}"/>
                  </c:ext>
                </c:extLst>
              </c15:ser>
            </c15:filteredBarSeries>
          </c:ext>
        </c:extLst>
      </c:barChart>
      <c:catAx>
        <c:axId val="1587947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9160800"/>
        <c:crosses val="autoZero"/>
        <c:auto val="1"/>
        <c:lblAlgn val="ctr"/>
        <c:lblOffset val="100"/>
        <c:noMultiLvlLbl val="0"/>
      </c:catAx>
      <c:valAx>
        <c:axId val="1479160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arbitrária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4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/>
              <a:t>Percepção Subjetiva</a:t>
            </a:r>
            <a:r>
              <a:rPr lang="pt-BR" b="1" baseline="0"/>
              <a:t> de Esforço </a:t>
            </a:r>
            <a:endParaRPr lang="pt-BR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(Amarelo!$C$12,Amarelo!$C$26,Amarelo!$C$40,Amarelo!$C$54)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58-41E5-A885-7AFFFA56A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5184"/>
        <c:axId val="1482067856"/>
      </c:lineChart>
      <c:catAx>
        <c:axId val="1587965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2067856"/>
        <c:crosses val="autoZero"/>
        <c:auto val="1"/>
        <c:lblAlgn val="ctr"/>
        <c:lblOffset val="100"/>
        <c:noMultiLvlLbl val="0"/>
      </c:catAx>
      <c:valAx>
        <c:axId val="148206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</a:t>
                </a:r>
                <a:r>
                  <a:rPr lang="pt-BR"/>
                  <a:t>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(Verde!$E$11,Verde!$E$25,Verde!$E$39,Verde!$E$53)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CD-41E1-B78C-0022ABEBFF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90920448"/>
        <c:axId val="1485432272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(Verde!$F$11,Verde!$F$25,Verde!$F$39,Verde!$F$53)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3CD-41E1-B78C-0022ABEBFF01}"/>
                  </c:ext>
                </c:extLst>
              </c15:ser>
            </c15:filteredBarSeries>
          </c:ext>
        </c:extLst>
      </c:barChart>
      <c:catAx>
        <c:axId val="149092044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 arbitráiras</a:t>
                </a:r>
                <a:r>
                  <a:rPr lang="pt-BR" b="1" baseline="0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85432272"/>
        <c:crosses val="autoZero"/>
        <c:auto val="1"/>
        <c:lblAlgn val="ctr"/>
        <c:lblOffset val="100"/>
        <c:noMultiLvlLbl val="0"/>
      </c:catAx>
      <c:valAx>
        <c:axId val="1485432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0920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Percepção Subjetiva de Esforço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(Verde!$C$11,Verde!$C$25,Verde!$C$39,Verde!$C$53)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C4-4C74-B078-44FAF447F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78753792"/>
        <c:axId val="1595723680"/>
      </c:lineChart>
      <c:catAx>
        <c:axId val="147875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23680"/>
        <c:crosses val="autoZero"/>
        <c:auto val="1"/>
        <c:lblAlgn val="ctr"/>
        <c:lblOffset val="100"/>
        <c:noMultiLvlLbl val="0"/>
      </c:catAx>
      <c:valAx>
        <c:axId val="1595723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7875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7-4ECA-9FE5-C5549C4BD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AAF7-4ECA-9FE5-C5549C4BD977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7A-4BA5-AF89-7C12E2380B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(Laranja!$E$12,Laranja!$E$26,Laranja!$E$40,Laranja!$E$54)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DC-4BAE-9058-9F8DE4097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(Laranja!$F$12,Laranja!$F$26,Laranja!$F$40,Laranja!$F$54)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1DDC-4BAE-9058-9F8DE4097873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(Laranja!$C$12,Laranja!$C$26,Laranja!$C$40,Laranja!$C$54)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68-4301-9FBB-16A52FDEB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Carga</a:t>
            </a:r>
            <a:r>
              <a:rPr lang="pt-BR" b="1" i="1" baseline="0"/>
              <a:t> total de treino 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([1]Laranja!$E$13,[1]Laranja!$E$28,[1]Laranja!$E$43,[1]Laranja!$E$58)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5-4CFF-A52B-22EE0681B9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57588768"/>
        <c:axId val="1600029584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([1]Laranja!$F$13,[1]Laranja!$F$28,[1]Laranja!$F$43,[1]Laranja!$F$58)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D1E5-4CFF-A52B-22EE0681B9B8}"/>
                  </c:ext>
                </c:extLst>
              </c15:ser>
            </c15:filteredBarSeries>
          </c:ext>
        </c:extLst>
      </c:barChart>
      <c:catAx>
        <c:axId val="165758876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Unidades</a:t>
                </a:r>
                <a:r>
                  <a:rPr lang="pt-BR" b="1" baseline="0"/>
                  <a:t> Arbitrárias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00029584"/>
        <c:crosses val="autoZero"/>
        <c:auto val="1"/>
        <c:lblAlgn val="ctr"/>
        <c:lblOffset val="100"/>
        <c:noMultiLvlLbl val="0"/>
      </c:catAx>
      <c:valAx>
        <c:axId val="1600029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7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b="1" i="1"/>
              <a:t>Percepção</a:t>
            </a:r>
            <a:r>
              <a:rPr lang="pt-BR" b="1" i="1" baseline="0"/>
              <a:t> Subjetiva de Esforço</a:t>
            </a:r>
            <a:endParaRPr lang="pt-BR" b="1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([1]Laranja!$C$13,[1]Laranja!$C$28,[1]Laranja!$C$43,[1]Laranja!$C$58)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70-48F1-8AE6-7429E11116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962384"/>
        <c:axId val="1595713696"/>
      </c:lineChart>
      <c:catAx>
        <c:axId val="158796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Sessões</a:t>
                </a:r>
                <a:r>
                  <a:rPr lang="pt-BR" b="1" baseline="0"/>
                  <a:t> </a:t>
                </a:r>
                <a:endParaRPr lang="pt-BR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95713696"/>
        <c:crosses val="autoZero"/>
        <c:auto val="1"/>
        <c:lblAlgn val="ctr"/>
        <c:lblOffset val="100"/>
        <c:noMultiLvlLbl val="0"/>
      </c:catAx>
      <c:valAx>
        <c:axId val="159571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 b="1"/>
                  <a:t>Nota da </a:t>
                </a:r>
                <a:r>
                  <a:rPr lang="pt-BR" b="1">
                    <a:solidFill>
                      <a:srgbClr val="FF0000"/>
                    </a:solidFill>
                  </a:rPr>
                  <a:t>PSE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87962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FFFF00"/>
                </a:solidFill>
              </a:rPr>
              <a:t>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Cardiorrespiratório!$G$3:$G$7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CC-4CFF-AB14-9749B3F297A9}"/>
            </c:ext>
          </c:extLst>
        </c:ser>
        <c:ser>
          <c:idx val="1"/>
          <c:order val="1"/>
          <c:spPr>
            <a:solidFill>
              <a:schemeClr val="accent4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Cardiorrespiratório!$H$3:$H$7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22CC-4CFF-AB14-9749B3F29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170543"/>
        <c:axId val="954689695"/>
      </c:barChart>
      <c:catAx>
        <c:axId val="9491705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4689695"/>
        <c:crosses val="autoZero"/>
        <c:auto val="1"/>
        <c:lblAlgn val="ctr"/>
        <c:lblOffset val="100"/>
        <c:noMultiLvlLbl val="0"/>
      </c:catAx>
      <c:valAx>
        <c:axId val="954689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1705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00B050"/>
                </a:solidFill>
              </a:rPr>
              <a:t>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Cardiorrespiratório!$G$14:$G$18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1B-43B4-803E-000A1CFE87A7}"/>
            </c:ext>
          </c:extLst>
        </c:ser>
        <c:ser>
          <c:idx val="1"/>
          <c:order val="1"/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Cardiorrespiratório!$H$14:$H$18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851B-43B4-803E-000A1CFE8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9183503"/>
        <c:axId val="1111702639"/>
      </c:barChart>
      <c:catAx>
        <c:axId val="9491835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1702639"/>
        <c:crosses val="autoZero"/>
        <c:auto val="1"/>
        <c:lblAlgn val="ctr"/>
        <c:lblOffset val="100"/>
        <c:noMultiLvlLbl val="0"/>
      </c:catAx>
      <c:valAx>
        <c:axId val="1111702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49183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rgbClr val="0070C0"/>
                </a:solidFill>
              </a:rPr>
              <a:t>PSE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Cardiorrespiratório!$G$24:$G$28</c:f>
              <c:numCache>
                <c:formatCode>General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22-44A8-A008-E6727BE2FDC0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Cardiorrespiratório!$H$24:$H$28</c:f>
              <c:numCache>
                <c:formatCode>General</c:formatCode>
                <c:ptCount val="5"/>
              </c:numCache>
            </c:numRef>
          </c:val>
          <c:extLst>
            <c:ext xmlns:c16="http://schemas.microsoft.com/office/drawing/2014/chart" uri="{C3380CC4-5D6E-409C-BE32-E72D297353CC}">
              <c16:uniqueId val="{00000001-AF22-44A8-A008-E6727BE2FD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8166767"/>
        <c:axId val="1111701151"/>
      </c:barChart>
      <c:catAx>
        <c:axId val="868166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11701151"/>
        <c:crosses val="autoZero"/>
        <c:auto val="1"/>
        <c:lblAlgn val="ctr"/>
        <c:lblOffset val="100"/>
        <c:noMultiLvlLbl val="0"/>
      </c:catAx>
      <c:valAx>
        <c:axId val="1111701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6816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image" Target="../media/image1.png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942975</xdr:colOff>
      <xdr:row>55</xdr:row>
      <xdr:rowOff>14287</xdr:rowOff>
    </xdr:from>
    <xdr:to>
      <xdr:col>2</xdr:col>
      <xdr:colOff>1076325</xdr:colOff>
      <xdr:row>69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3506D8D-CDCE-42C5-AC94-0F0CBDFBE1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4762</xdr:rowOff>
    </xdr:from>
    <xdr:to>
      <xdr:col>7</xdr:col>
      <xdr:colOff>9525</xdr:colOff>
      <xdr:row>69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A84FC32-E68F-485D-8B55-02186EF66C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714375</xdr:colOff>
      <xdr:row>55</xdr:row>
      <xdr:rowOff>185737</xdr:rowOff>
    </xdr:from>
    <xdr:to>
      <xdr:col>2</xdr:col>
      <xdr:colOff>847725</xdr:colOff>
      <xdr:row>70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6CA5535-5F2F-4328-A300-F3D048BA54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1619250</xdr:colOff>
      <xdr:row>56</xdr:row>
      <xdr:rowOff>4762</xdr:rowOff>
    </xdr:from>
    <xdr:to>
      <xdr:col>7</xdr:col>
      <xdr:colOff>0</xdr:colOff>
      <xdr:row>70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E873787-D57F-4FB6-82AF-7B2D40220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54</xdr:row>
      <xdr:rowOff>185737</xdr:rowOff>
    </xdr:from>
    <xdr:to>
      <xdr:col>2</xdr:col>
      <xdr:colOff>419100</xdr:colOff>
      <xdr:row>69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68A243-B86E-41D1-BED0-C352A37FAD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14287</xdr:rowOff>
    </xdr:from>
    <xdr:to>
      <xdr:col>7</xdr:col>
      <xdr:colOff>438150</xdr:colOff>
      <xdr:row>69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2198F79-A7E7-4393-92E0-F64114CBD2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54</xdr:row>
      <xdr:rowOff>185737</xdr:rowOff>
    </xdr:from>
    <xdr:to>
      <xdr:col>2</xdr:col>
      <xdr:colOff>419100</xdr:colOff>
      <xdr:row>69</xdr:row>
      <xdr:rowOff>71437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9DEA16E-07F8-4BD0-A86E-B7DA59008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55</xdr:row>
      <xdr:rowOff>14287</xdr:rowOff>
    </xdr:from>
    <xdr:to>
      <xdr:col>7</xdr:col>
      <xdr:colOff>438150</xdr:colOff>
      <xdr:row>69</xdr:row>
      <xdr:rowOff>90487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789557C-C01C-465F-A76A-9985960A64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285750</xdr:colOff>
      <xdr:row>53</xdr:row>
      <xdr:rowOff>185737</xdr:rowOff>
    </xdr:from>
    <xdr:to>
      <xdr:col>2</xdr:col>
      <xdr:colOff>419100</xdr:colOff>
      <xdr:row>68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40C0CDB-8D01-4344-A34A-7D80E650F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54</xdr:row>
      <xdr:rowOff>14287</xdr:rowOff>
    </xdr:from>
    <xdr:to>
      <xdr:col>7</xdr:col>
      <xdr:colOff>438150</xdr:colOff>
      <xdr:row>68</xdr:row>
      <xdr:rowOff>90487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24C608D-5D5C-46B0-A79A-CD9FAFB965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30</xdr:row>
      <xdr:rowOff>171450</xdr:rowOff>
    </xdr:from>
    <xdr:to>
      <xdr:col>6</xdr:col>
      <xdr:colOff>485774</xdr:colOff>
      <xdr:row>44</xdr:row>
      <xdr:rowOff>76200</xdr:rowOff>
    </xdr:to>
    <xdr:pic>
      <xdr:nvPicPr>
        <xdr:cNvPr id="2" name="Imagem 1" descr="Children's OMNI Resistance Exercise Scale (OMNI-RES) of perceived... |  Download Scientific Diagram">
          <a:extLst>
            <a:ext uri="{FF2B5EF4-FFF2-40B4-BE49-F238E27FC236}">
              <a16:creationId xmlns:a16="http://schemas.microsoft.com/office/drawing/2014/main" id="{35DC0454-D9C4-4EE0-A031-A73267388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" y="5886450"/>
          <a:ext cx="4857749" cy="2571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9</xdr:col>
      <xdr:colOff>1</xdr:colOff>
      <xdr:row>0</xdr:row>
      <xdr:rowOff>180975</xdr:rowOff>
    </xdr:from>
    <xdr:to>
      <xdr:col>14</xdr:col>
      <xdr:colOff>266701</xdr:colOff>
      <xdr:row>8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7FC1622-FFD8-EECB-8513-E758D77A81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604837</xdr:colOff>
      <xdr:row>9</xdr:row>
      <xdr:rowOff>171449</xdr:rowOff>
    </xdr:from>
    <xdr:to>
      <xdr:col>14</xdr:col>
      <xdr:colOff>295275</xdr:colOff>
      <xdr:row>19</xdr:row>
      <xdr:rowOff>47624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39DFF20-90CD-3985-EE56-28A05131D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4762</xdr:colOff>
      <xdr:row>21</xdr:row>
      <xdr:rowOff>0</xdr:rowOff>
    </xdr:from>
    <xdr:to>
      <xdr:col>14</xdr:col>
      <xdr:colOff>323850</xdr:colOff>
      <xdr:row>30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A73AB8-C354-B890-A3DA-81ACFB26E9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55119/Desktop/Alunos/Periodiza&#231;&#227;o%20Adriano%20Natal%20Bolad&#227;o%20.xlsx" TargetMode="External"/><Relationship Id="rId1" Type="http://schemas.openxmlformats.org/officeDocument/2006/relationships/externalLinkPath" Target="/Users/55119/Desktop/Alunos/Periodiza&#231;&#227;o%20Adriano%20Natal%20Bolad&#227;o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marelo"/>
      <sheetName val="Verde"/>
      <sheetName val="Laranja"/>
      <sheetName val="Roxo"/>
      <sheetName val="Treino Cardio"/>
      <sheetName val="Predição da escolha da carga "/>
      <sheetName val="Cálculo da FC para aeróbio"/>
      <sheetName val="Fórmula para usar na esteira "/>
      <sheetName val="Avaliação de Força "/>
      <sheetName val="Roxo (2)"/>
    </sheetNames>
    <sheetDataSet>
      <sheetData sheetId="0"/>
      <sheetData sheetId="1"/>
      <sheetData sheetId="2">
        <row r="13">
          <cell r="C13">
            <v>0</v>
          </cell>
          <cell r="E13">
            <v>0</v>
          </cell>
          <cell r="F13"/>
        </row>
        <row r="28">
          <cell r="C28">
            <v>0</v>
          </cell>
          <cell r="E28">
            <v>0</v>
          </cell>
          <cell r="F28"/>
        </row>
        <row r="43">
          <cell r="C43">
            <v>0</v>
          </cell>
          <cell r="E43">
            <v>0</v>
          </cell>
          <cell r="F43"/>
        </row>
        <row r="58">
          <cell r="C58">
            <v>0</v>
          </cell>
          <cell r="E58">
            <v>0</v>
          </cell>
          <cell r="F58"/>
        </row>
      </sheetData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2E69F9A-42A3-40E8-91E0-554813D2236A}" name="Tabela2" displayName="Tabela2" ref="A11:C12" insertRowShift="1" totalsRowShown="0" headerRowDxfId="242" dataDxfId="241">
  <autoFilter ref="A11:C12" xr:uid="{C87D4E95-8C0B-49DC-B4DF-43385663B585}"/>
  <tableColumns count="3">
    <tableColumn id="1" xr3:uid="{90E6EA8A-7427-49D4-A675-9CA7CFC2DF18}" name="Percepção Subjetiva de Esforço" dataDxfId="240"/>
    <tableColumn id="2" xr3:uid="{859C28AA-E90D-4B5F-AA0A-6DF3ABBD0362}" name="Tempo da sessão em minutos  " dataDxfId="239"/>
    <tableColumn id="3" xr3:uid="{F00D61A9-21BE-4777-B5A8-7D225FC255A7}" name="Unidades Arbitrárias " dataDxfId="238">
      <calculatedColumnFormula>Tabela2[[#This Row],[Percepção Subjetiva de Esforço]]*Tabela2[[#This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4EA74B2-4ED8-4CAD-A72D-988AC8998FD2}" name="Tabela26" displayName="Tabela26" ref="A25:C26" insertRowShift="1" totalsRowShown="0" headerRowDxfId="237" dataDxfId="236">
  <autoFilter ref="A25:C26" xr:uid="{86783AA4-5C15-436C-9978-EA3D63974A01}"/>
  <tableColumns count="3">
    <tableColumn id="1" xr3:uid="{6E73E5FA-9D00-46FF-B188-174AA0058E51}" name="Percepção Subjetiva de Esforço" dataDxfId="235"/>
    <tableColumn id="2" xr3:uid="{EB1E3663-F035-40CE-8826-76E197EF020B}" name="Tempo da sessão em minutos  " dataDxfId="234"/>
    <tableColumn id="3" xr3:uid="{47826C87-9327-4AAE-ADAD-633C033AA782}" name="Unidades Arbitrárias " dataDxfId="233">
      <calculatedColumnFormula>Tabela26[[#This Row],[Percepção Subjetiva de Esforço]]*Tabela26[[#This Row],[Tempo da sessão em minutos  ]]</calculatedColumnFormula>
    </tableColumn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14BCE05-2453-452F-A108-367D5E421298}" name="Tabela268" displayName="Tabela268" ref="A39:C40" insertRowShift="1" totalsRowShown="0" headerRowDxfId="232" dataDxfId="231">
  <autoFilter ref="A39:C40" xr:uid="{3107D61E-DBC6-4C0E-9722-D91ECBD856CC}"/>
  <tableColumns count="3">
    <tableColumn id="1" xr3:uid="{81638973-ACAC-4844-93E7-6E2593A51116}" name="Percepção Subjetiva de Esforço" dataDxfId="230"/>
    <tableColumn id="2" xr3:uid="{A00D6CDC-2549-42AF-BA73-89E2BCC2DA5C}" name="Tempo da sessão em minutos  " dataDxfId="229"/>
    <tableColumn id="3" xr3:uid="{1CA24CAC-D88C-4D98-978A-B77E5958E58C}" name="Unidades Arbitrárias " dataDxfId="228">
      <calculatedColumnFormula>Tabela268[[#This Row],[Percepção Subjetiva de Esforço]]*Tabela268[[#This Row],[Tempo da sessão em minutos  ]]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D71EBB-B8DE-4696-BFE8-14AEFDF56CD6}" name="Tabela26810" displayName="Tabela26810" ref="A53:C54" insertRowShift="1" totalsRowShown="0" headerRowDxfId="227" dataDxfId="226">
  <autoFilter ref="A53:C54" xr:uid="{F7EF0A39-BB16-4EE6-9E22-D26C7397BC2F}"/>
  <tableColumns count="3">
    <tableColumn id="1" xr3:uid="{C5393D4C-786C-4F02-9241-1B2464896FCD}" name="Percepção Subjetiva de Esforço" dataDxfId="225"/>
    <tableColumn id="2" xr3:uid="{A2175FB8-3A34-4959-B873-4FE0A986CD87}" name="Tempo da sessão em minutos  " dataDxfId="224"/>
    <tableColumn id="3" xr3:uid="{99A5DA8F-7A34-4AAB-90EA-0B083AFCC592}" name="Unidades Arbitrárias " dataDxfId="223">
      <calculatedColumnFormula>Tabela26810[[#This Row],[Percepção Subjetiva de Esforço]]*Tabela26810[[#This Row],[Tempo da sessão em minutos  ]]</calculatedColumnFormula>
    </tableColumn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1E9DBF-3C89-4CBB-93E6-EAFF3188985A}" name="Tabela14" displayName="Tabela14" ref="A17:I24" totalsRowShown="0" headerRowDxfId="222">
  <autoFilter ref="A17:I24" xr:uid="{2CEB1770-0E38-4C22-A4DA-B06DAD109EF2}"/>
  <tableColumns count="9">
    <tableColumn id="1" xr3:uid="{68D4D3D5-50A0-4F64-8E0D-BAB08B5D4893}" name="Exercícios " dataDxfId="105"/>
    <tableColumn id="2" xr3:uid="{881CEA0B-EE88-4034-81FA-EA6AF8E3E085}" name="Séries " dataDxfId="104"/>
    <tableColumn id="3" xr3:uid="{8B0A34CA-FA92-42C5-AF9C-BD91A88997B5}" name="Repetições" dataDxfId="103"/>
    <tableColumn id="4" xr3:uid="{61EDFCE4-A6DD-4A9E-9C03-B01A85476FD9}" name="Cadência " dataDxfId="102"/>
    <tableColumn id="5" xr3:uid="{0239F4CA-45AC-400F-A276-34FF62CC44B0}" name="Intervalo " dataDxfId="101"/>
    <tableColumn id="6" xr3:uid="{A3602A72-ECD3-41D5-87AE-98D972B19C75}" name="Método " dataDxfId="100"/>
    <tableColumn id="7" xr3:uid="{9E2E1B4A-CF3F-42C6-9734-0A01FA5DE2EA}" name="Observações " dataDxfId="99"/>
    <tableColumn id="8" xr3:uid="{F9BA052E-6657-4877-B6AB-A14D89C2227E}" name="Carga (kg)"/>
    <tableColumn id="9" xr3:uid="{062A98AC-6B74-4B7F-9DF1-E1E291BE7453}" name="Load" dataDxfId="221">
      <calculatedColumnFormula>Tabela14[[#This Row],[Séries ]]*Tabela14[[#This Row],[Repetições]]*Tabela14[[#This Row],[Carga (kg)]]</calculatedColumnFormula>
    </tableColumn>
  </tableColumns>
  <tableStyleInfo name="TableStyleMedium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0901277-8409-4A0E-934A-CF8389BECF98}" name="Tabela149" displayName="Tabela149" ref="A31:I38" totalsRowShown="0" headerRowDxfId="220">
  <autoFilter ref="A31:I38" xr:uid="{8E24F9F1-16F6-425A-8E7A-86A9E6AB12F9}"/>
  <tableColumns count="9">
    <tableColumn id="1" xr3:uid="{783E4C5A-8A2A-4C82-8389-58F4B7FB40CE}" name="Exercícios " dataDxfId="98"/>
    <tableColumn id="2" xr3:uid="{CB8D21DA-9BD6-4D7A-8663-ADFFC036C2C7}" name="Séries " dataDxfId="97"/>
    <tableColumn id="3" xr3:uid="{5EBB9014-1A82-4112-9B4D-A557FB8A8D00}" name="Repetições" dataDxfId="96"/>
    <tableColumn id="4" xr3:uid="{B9C2B479-7240-4C10-85B9-032247D60F60}" name="Cadência " dataDxfId="95"/>
    <tableColumn id="5" xr3:uid="{8A85BD78-EC43-48C4-992B-7EFD670A11CF}" name="Intervalo " dataDxfId="94"/>
    <tableColumn id="6" xr3:uid="{CC8278A2-FD72-4C37-B07B-1B0334506501}" name="Método " dataDxfId="93"/>
    <tableColumn id="7" xr3:uid="{A1D52D4C-484B-4751-B518-413169D286B9}" name="Observações " dataDxfId="92"/>
    <tableColumn id="8" xr3:uid="{33220BA4-9AFA-4594-B862-324FFF49105A}" name="Carga (kg)"/>
    <tableColumn id="9" xr3:uid="{D7AF8EED-5FA1-44AE-82DF-A9370E1259E7}" name="Load" dataDxfId="219">
      <calculatedColumnFormula>Tabela149[[#This Row],[Séries ]]*Tabela149[[#This Row],[Repetições]]*Tabela149[[#This Row],[Carga (kg)]]</calculatedColumnFormula>
    </tableColumn>
  </tableColumns>
  <tableStyleInfo name="TableStyleMedium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F025A96-E046-4F92-BF58-CDD2CDDA7ED1}" name="Tabela14932" displayName="Tabela14932" ref="A45:M52" totalsRowShown="0" headerRowDxfId="218">
  <autoFilter ref="A45:M52" xr:uid="{1ECB3BC4-D086-4A84-B3F8-A17887DCAF9E}"/>
  <tableColumns count="13">
    <tableColumn id="1" xr3:uid="{2EC481AF-4FF4-4539-952C-11851D97C198}" name="Exercícios " dataDxfId="91"/>
    <tableColumn id="2" xr3:uid="{C9363271-FFC8-43C8-8397-9098A02A9795}" name="Séries " dataDxfId="90"/>
    <tableColumn id="3" xr3:uid="{E6F6C699-57C4-4BEF-B1F1-87F0CD06F5C0}" name="Repetições" dataDxfId="89"/>
    <tableColumn id="4" xr3:uid="{80A67A86-F47B-465B-B7A0-7CE8B61080FE}" name="Cadência " dataDxfId="88"/>
    <tableColumn id="5" xr3:uid="{0B7F4204-9C49-433B-AB6B-7F210949307D}" name="Intervalo " dataDxfId="87"/>
    <tableColumn id="6" xr3:uid="{80F4B297-2244-4B54-93F9-2B3C95C9DDC4}" name="Método " dataDxfId="86"/>
    <tableColumn id="7" xr3:uid="{0163B5BE-6959-4213-84B5-408B67BC4E1B}" name="Observações " dataDxfId="85"/>
    <tableColumn id="8" xr3:uid="{326A36CE-6393-4E35-AF5A-0D87293FBDFB}" name="Carga (kg)"/>
    <tableColumn id="9" xr3:uid="{E95756EF-DDE7-4C7A-A8C5-80D46A5BAFEC}" name="Load" dataDxfId="217">
      <calculatedColumnFormula>Tabela14932[[#This Row],[Séries ]]*Tabela14932[[#This Row],[Repetições]]*Tabela14932[[#This Row],[Carga (kg)]]</calculatedColumnFormula>
    </tableColumn>
    <tableColumn id="10" xr3:uid="{C06E9BDB-BBAC-4D53-9CE8-D783DD201C6A}" name="Coluna1" dataDxfId="216"/>
    <tableColumn id="11" xr3:uid="{6492DCC6-DE2F-47AF-B805-6EAC8C6692BE}" name="Coluna2" dataDxfId="215"/>
    <tableColumn id="12" xr3:uid="{F9343D9D-6792-4F1D-98CF-66E3D8F9D1A2}" name="Coluna3" dataDxfId="214"/>
    <tableColumn id="13" xr3:uid="{760E7EA3-E3EE-4B0A-A286-5A15CED1033B}" name="Coluna4" dataDxfId="213"/>
  </tableColumns>
  <tableStyleInfo name="TableStyleMedium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E769EC-088B-4034-A70A-1A8A3BFC5894}" name="Tabela1" displayName="Tabela1" ref="A2:I9" totalsRowShown="0" headerRowDxfId="212">
  <autoFilter ref="A2:I9" xr:uid="{57FF14F4-89B6-4979-9222-6C19553360FF}"/>
  <tableColumns count="9">
    <tableColumn id="1" xr3:uid="{4AAD7FD7-5B1A-44B7-8811-1498D1322FD5}" name="Exercícios " dataDxfId="211"/>
    <tableColumn id="2" xr3:uid="{4AF9585D-EDC2-40C3-BB38-660AFFFE5088}" name="Séries " dataDxfId="210"/>
    <tableColumn id="3" xr3:uid="{812C56BB-99CD-494E-9519-963B9FBC5566}" name="Repetições" dataDxfId="209"/>
    <tableColumn id="4" xr3:uid="{CDE6380F-14F9-4FBA-8201-EB315059DB19}" name="Cadência " dataDxfId="106"/>
    <tableColumn id="5" xr3:uid="{D74A6CA1-C6F0-4A3A-92F5-9D699EB7286D}" name="Intervalo " dataDxfId="208"/>
    <tableColumn id="6" xr3:uid="{375EE201-C220-4CD2-9846-AFB837929991}" name="Método " dataDxfId="207"/>
    <tableColumn id="7" xr3:uid="{2971948A-7897-48EE-9F79-A6B94415F6CF}" name="Observações " dataDxfId="206"/>
    <tableColumn id="8" xr3:uid="{8469B5B4-99EE-466A-B2EE-2BE3FEDFA1B1}" name="Carga (kg)"/>
    <tableColumn id="9" xr3:uid="{9F28ABE6-A378-4D84-94CF-19C75EF55C22}" name="Load" dataDxfId="205">
      <calculatedColumnFormula>Tabela1[[#This Row],[Séries ]]*Tabela1[[#This Row],[Repetições]]*Tabela1[[#This Row],[Carga (kg)]]</calculatedColumnFormula>
    </tableColumn>
  </tableColumns>
  <tableStyleInfo name="TableStyleMedium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751A464-EDE6-43D5-AA89-BE4FDD366386}" name="Tabela111" displayName="Tabela111" ref="A2:I9" totalsRowShown="0" headerRowDxfId="204">
  <autoFilter ref="A2:I9" xr:uid="{45B65778-5724-4C99-B9DF-E28E782ADBA4}"/>
  <tableColumns count="9">
    <tableColumn id="1" xr3:uid="{A6C35740-3BC6-4946-9DDE-F85E6CD5A7E1}" name="Exercícios " dataDxfId="203"/>
    <tableColumn id="2" xr3:uid="{22C61F5E-1F7B-4B6F-8548-C592F220104B}" name="Séries " dataDxfId="202"/>
    <tableColumn id="3" xr3:uid="{291D00B1-8DA5-4896-B31C-07F634DCEC23}" name="Repetições" dataDxfId="201"/>
    <tableColumn id="4" xr3:uid="{A336ABDD-9015-4DE2-9B7F-E6FEDF4DE658}" name="Cadência " dataDxfId="200"/>
    <tableColumn id="5" xr3:uid="{30116BAE-1F3A-45CA-BAB7-9D55E18C38B3}" name="Intervalo " dataDxfId="199"/>
    <tableColumn id="6" xr3:uid="{BEC8012C-7EF0-471D-A8DB-9C71EBD8A29F}" name="Método " dataDxfId="198"/>
    <tableColumn id="7" xr3:uid="{534CB589-B6D7-4C09-B3C9-C4DF190FB7D5}" name="Observações " dataDxfId="197"/>
    <tableColumn id="8" xr3:uid="{EEB529B2-BA33-4BB5-B295-E65664A78D08}" name="Carga (kg)"/>
    <tableColumn id="9" xr3:uid="{4EC96B70-170B-4CDA-9A21-1BF1906C88CB}" name="Load" dataDxfId="196">
      <calculatedColumnFormula>Tabela111[[#This Row],[Séries ]]*Tabela111[[#This Row],[Repetições]]*Tabela111[[#This Row],[Carga (kg)]]</calculatedColumnFormula>
    </tableColumn>
  </tableColumns>
  <tableStyleInfo name="TableStyleMedium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85B12F0-2AE2-49D3-9000-E63838475D4F}" name="Tabela214" displayName="Tabela214" ref="A10:C11" insertRowShift="1" totalsRowShown="0" headerRowDxfId="195" dataDxfId="194">
  <autoFilter ref="A10:C11" xr:uid="{FDBF0071-AC7B-47ED-BE8D-7B9811E21ECF}"/>
  <tableColumns count="3">
    <tableColumn id="1" xr3:uid="{C9FB336C-E647-4512-A09E-E445A72F4623}" name="Percepção Subjetiva de Esforço" dataDxfId="193"/>
    <tableColumn id="2" xr3:uid="{965C9852-1679-4F94-820E-E74F4EB93DAE}" name="Tempo da sessão em minutos  " dataDxfId="192"/>
    <tableColumn id="3" xr3:uid="{71F704DA-6987-42B7-BFA7-82AB371BF478}" name="Unidades Arbitrárias " dataDxfId="191">
      <calculatedColumnFormula>Tabela214[[#This Row],[Percepção Subjetiva de Esforço]]*Tabela214[[#This Row],[Tempo da sessão em minutos  ]]</calculatedColumnFormula>
    </tableColumn>
  </tableColumns>
  <tableStyleInfo name="TableStyleMedium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8F2FEF8-C642-42DF-94E0-7A5FC7FEBA2A}" name="Tabela21416" displayName="Tabela21416" ref="A24:C25" insertRowShift="1" totalsRowShown="0" headerRowDxfId="190" dataDxfId="189">
  <autoFilter ref="A24:C25" xr:uid="{EAE8B4C0-7848-456C-BDE2-A3C7A0D899AF}"/>
  <tableColumns count="3">
    <tableColumn id="1" xr3:uid="{7945B99C-8290-4325-A6E4-3D3C2017EA0B}" name="Percepção Subjetiva de Esforço" dataDxfId="188"/>
    <tableColumn id="2" xr3:uid="{8D626628-4888-45E1-904A-058A2FE7B73E}" name="Tempo da sessão em minutos  " dataDxfId="187"/>
    <tableColumn id="3" xr3:uid="{D4EE35C7-3AE0-4A55-B60E-EC3864080FFA}" name="Unidades Arbitrárias " dataDxfId="186">
      <calculatedColumnFormula>Tabela21416[[#This Row],[Percepção Subjetiva de Esforço]]*Tabela21416[[#This Row],[Tempo da sessão em minutos  ]]</calculatedColumnFormula>
    </tableColumn>
  </tableColumns>
  <tableStyleInfo name="TableStyleMedium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EBD26A1-F21A-4468-A81E-C0DCFBFACE77}" name="Tabela2141618" displayName="Tabela2141618" ref="A38:C39" insertRowShift="1" totalsRowShown="0" headerRowDxfId="185" dataDxfId="184">
  <autoFilter ref="A38:C39" xr:uid="{17DCD766-486C-43A0-85D0-4E45A542E7CD}"/>
  <tableColumns count="3">
    <tableColumn id="1" xr3:uid="{5EB8BD75-8D71-4984-872C-D1A7F1325A60}" name="Percepção Subjetiva de Esforço" dataDxfId="183"/>
    <tableColumn id="2" xr3:uid="{BBB25D61-E034-49DF-9F3F-AD1330AECA3E}" name="Tempo da sessão em minutos  " dataDxfId="182"/>
    <tableColumn id="3" xr3:uid="{52399B78-BBB6-4656-9EB2-4077BED9648E}" name="Unidades Arbitrárias " dataDxfId="181">
      <calculatedColumnFormula>Tabela2141618[[#This Row],[Percepção Subjetiva de Esforço]]*Tabela2141618[[#This Row],[Tempo da sessão em minutos  ]]</calculatedColumnFormula>
    </tableColumn>
  </tableColumns>
  <tableStyleInfo name="TableStyleMedium1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A71B97E2-CB46-4DB8-9BCB-0E6E8D3A75D4}" name="Tabela214161820" displayName="Tabela214161820" ref="A52:C53" insertRowShift="1" totalsRowShown="0" headerRowDxfId="180" dataDxfId="179">
  <autoFilter ref="A52:C53" xr:uid="{B7A45A4B-837B-4792-9D04-38618950EFDF}"/>
  <tableColumns count="3">
    <tableColumn id="1" xr3:uid="{947E3E72-D938-4D05-8D03-22999E045C10}" name="Percepção Subjetiva de Esforço" dataDxfId="178"/>
    <tableColumn id="2" xr3:uid="{50188242-43ED-4162-92E5-82EBEBEB270A}" name="Tempo da sessão em minutos  " dataDxfId="177"/>
    <tableColumn id="3" xr3:uid="{BD701242-24CD-4EAA-8B9D-E2768DE3363C}" name="Unidades Arbitrárias " dataDxfId="176">
      <calculatedColumnFormula>Tabela214161820[[#This Row],[Percepção Subjetiva de Esforço]]*Tabela214161820[[#This Row],[Tempo da sessão em minutos  ]]</calculatedColumnFormula>
    </tableColumn>
  </tableColumns>
  <tableStyleInfo name="TableStyleMedium1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A20C9EBB-D7ED-4024-874B-0F11094806B3}" name="Tabela11133" displayName="Tabela11133" ref="A16:I23" totalsRowShown="0" headerRowDxfId="175">
  <autoFilter ref="A16:I23" xr:uid="{5FD555C5-C084-43E2-99E8-AED5CF504072}"/>
  <tableColumns count="9">
    <tableColumn id="1" xr3:uid="{6B0BD7A3-F148-401F-ACE3-0BE588E031B7}" name="Exercícios " dataDxfId="84"/>
    <tableColumn id="2" xr3:uid="{3F83665E-4701-439C-B1CE-2FB19BAF82C1}" name="Séries " dataDxfId="83"/>
    <tableColumn id="3" xr3:uid="{F67AF161-D5AA-4323-9AD0-172BE1076B6A}" name="Repetições" dataDxfId="82"/>
    <tableColumn id="4" xr3:uid="{26BEADDC-2A74-4DE1-9BEF-FD9433A56C39}" name="Cadência " dataDxfId="81"/>
    <tableColumn id="5" xr3:uid="{6E50F109-FF40-40C3-B43B-5ED14A3F4732}" name="Intervalo " dataDxfId="80"/>
    <tableColumn id="6" xr3:uid="{068FFE62-3D5C-4816-A444-1C5F94635285}" name="Método " dataDxfId="79"/>
    <tableColumn id="7" xr3:uid="{993AAA1E-6284-466E-9768-F94161F08E4F}" name="Observações " dataDxfId="78"/>
    <tableColumn id="8" xr3:uid="{44BCC18F-084F-4607-8A69-F37DC2DD7E9B}" name="Carga (kg)"/>
    <tableColumn id="9" xr3:uid="{7CAA4D3A-AF94-4289-B65F-5F46EAFD2B1C}" name="Load" dataDxfId="174">
      <calculatedColumnFormula>Tabela11133[[#This Row],[Séries ]]*Tabela11133[[#This Row],[Repetições]]*Tabela11133[[#This Row],[Carga (kg)]]</calculatedColumnFormula>
    </tableColumn>
  </tableColumns>
  <tableStyleInfo name="TableStyleMedium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9B822DC4-9857-41F8-952E-B72710A93ABD}" name="Tabela1113334" displayName="Tabela1113334" ref="A30:I37" totalsRowShown="0" headerRowDxfId="173">
  <autoFilter ref="A30:I37" xr:uid="{D42C46F4-93AA-4DC0-B0A3-A5FD5C0A3026}"/>
  <tableColumns count="9">
    <tableColumn id="1" xr3:uid="{6EFDC9B5-F224-4755-8AFC-8F75A42487C8}" name="Exercícios " dataDxfId="77"/>
    <tableColumn id="2" xr3:uid="{DA7F6C40-AD34-464B-8CDC-1412C7B0644E}" name="Séries " dataDxfId="76"/>
    <tableColumn id="3" xr3:uid="{BC8EB370-A974-4BE5-9FB9-B5D29A36E6D3}" name="Repetições" dataDxfId="75"/>
    <tableColumn id="4" xr3:uid="{38513F52-3942-4931-B637-CC65A82D129B}" name="Cadência " dataDxfId="74"/>
    <tableColumn id="5" xr3:uid="{572DD76E-52C5-4419-B00B-25E3A919FEFF}" name="Intervalo " dataDxfId="73"/>
    <tableColumn id="6" xr3:uid="{BA29292A-174F-4325-9D9B-9FA4C171BFC4}" name="Método " dataDxfId="72"/>
    <tableColumn id="7" xr3:uid="{17129026-05E9-4450-93D6-130BF50A253F}" name="Observações " dataDxfId="71"/>
    <tableColumn id="8" xr3:uid="{15AF1C81-379C-4D4E-93DC-870576F36846}" name="Carga (kg)"/>
    <tableColumn id="9" xr3:uid="{65A0511D-5443-4FE2-9860-BF48122ECABF}" name="Load" dataDxfId="172">
      <calculatedColumnFormula>Tabela1113334[[#This Row],[Séries ]]*Tabela1113334[[#This Row],[Repetições]]*Tabela1113334[[#This Row],[Carga (kg)]]</calculatedColumnFormula>
    </tableColumn>
  </tableColumns>
  <tableStyleInfo name="TableStyleMedium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A4452E47-842D-409B-B9C3-3042C12861F7}" name="Tabela111333435" displayName="Tabela111333435" ref="A44:I51" totalsRowShown="0" headerRowDxfId="171">
  <autoFilter ref="A44:I51" xr:uid="{CABAE3CA-A7F3-4883-9C7A-1D5E4D2518C3}"/>
  <tableColumns count="9">
    <tableColumn id="1" xr3:uid="{98D9E591-4468-44F6-B32A-AA61100E7F41}" name="Exercícios " dataDxfId="70"/>
    <tableColumn id="2" xr3:uid="{FBCB73FA-1C39-4890-8148-74496234C69A}" name="Séries " dataDxfId="69"/>
    <tableColumn id="3" xr3:uid="{3FDA5D23-EE33-411A-A5E6-8411EE629945}" name="Repetições" dataDxfId="68"/>
    <tableColumn id="4" xr3:uid="{BAB7FC2C-4882-4AA4-8245-F8524EC8D081}" name="Cadência " dataDxfId="67"/>
    <tableColumn id="5" xr3:uid="{565B40A7-E4BF-4270-B1E4-73BE7AAEB9EB}" name="Intervalo " dataDxfId="66"/>
    <tableColumn id="6" xr3:uid="{615F0762-780E-4DC9-B9BE-EB448E85FE32}" name="Método " dataDxfId="65"/>
    <tableColumn id="7" xr3:uid="{36D0FF1E-0E39-4E31-A461-83ADF92925ED}" name="Observações " dataDxfId="64"/>
    <tableColumn id="8" xr3:uid="{B629C9AA-8834-425C-A8DF-612D13C3740D}" name="Carga (kg)"/>
    <tableColumn id="9" xr3:uid="{BA3671AA-AAE4-48F9-8035-61BB33372755}" name="Load" dataDxfId="170">
      <calculatedColumnFormula>Tabela111333435[[#This Row],[Séries ]]*Tabela111333435[[#This Row],[Repetições]]*Tabela111333435[[#This Row],[Carga (kg)]]</calculatedColumnFormula>
    </tableColumn>
  </tableColumns>
  <tableStyleInfo name="TableStyleMedium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4E4B0A0-4AFB-4BAB-86A9-7AFFED74BC8C}" name="Tabela2142422195" displayName="Tabela2142422195" ref="A11:C12" insertRowShift="1" totalsRowShown="0" headerRowDxfId="169" dataDxfId="168">
  <autoFilter ref="A11:C12" xr:uid="{D4E4B0A0-4AFB-4BAB-86A9-7AFFED74BC8C}"/>
  <tableColumns count="3">
    <tableColumn id="1" xr3:uid="{89E4A342-AE8E-4F6B-9648-48A92097BEE5}" name="Percepção Subjetiva de Esforço" dataDxfId="167"/>
    <tableColumn id="2" xr3:uid="{EEFA2EBF-9EED-4650-88EA-2E7EC29A9127}" name="Tempo da sessão em minutos  " dataDxfId="166"/>
    <tableColumn id="3" xr3:uid="{3E4C0A84-19D3-40FE-A98B-2F761025FE60}" name="Unidades Arbitrárias " dataDxfId="165">
      <calculatedColumnFormula>Tabela2142422195[[#This Row],[Percepção Subjetiva de Esforço]]*Tabela2142422195[[#This Row],[Tempo da sessão em minutos  ]]</calculatedColumnFormula>
    </tableColumn>
  </tableColumns>
  <tableStyleInfo name="TableStyleMedium1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F73895C-9805-4F90-986D-F46E14CE4071}" name="Tabela11121252623427" displayName="Tabela11121252623427" ref="A31:I38" totalsRowShown="0" headerRowDxfId="164">
  <autoFilter ref="A31:I38" xr:uid="{0F73895C-9805-4F90-986D-F46E14CE4071}"/>
  <tableColumns count="9">
    <tableColumn id="1" xr3:uid="{E0F34C8D-30EF-456F-8705-2DC30F17D630}" name="Exercícios " dataDxfId="56"/>
    <tableColumn id="2" xr3:uid="{C215D991-5660-4A9D-96D9-F36F126A58D5}" name="Séries " dataDxfId="55"/>
    <tableColumn id="3" xr3:uid="{69AFBF9B-6ACC-4F98-8D24-E5EE3E1FD35E}" name="Repetições" dataDxfId="54"/>
    <tableColumn id="4" xr3:uid="{99F59CD3-3332-4905-BD39-08AE755C686A}" name="Cadência " dataDxfId="53"/>
    <tableColumn id="5" xr3:uid="{51F56039-8B95-4494-B918-7B87948885B3}" name="Intervalo " dataDxfId="52"/>
    <tableColumn id="6" xr3:uid="{D3F2091D-3454-4E7F-BEE7-7A1EE6D5910A}" name="Método " dataDxfId="51"/>
    <tableColumn id="7" xr3:uid="{2307D1AF-EB64-4FF9-AB0B-F46A071FCBD7}" name="Observações " dataDxfId="50"/>
    <tableColumn id="8" xr3:uid="{42A50294-7C87-4759-9059-F033344ACAC6}" name="Carga (kg)"/>
    <tableColumn id="9" xr3:uid="{E237998B-16C1-46E4-B2AC-701240929DAD}" name="Load" dataDxfId="163">
      <calculatedColumnFormula>Tabela11121252623427[[#This Row],[Séries ]]*Tabela11121252623427[[#This Row],[Repetições]]*Tabela11121252623427[[#This Row],[Carga (kg)]]</calculatedColumnFormula>
    </tableColumn>
  </tableColumns>
  <tableStyleInfo name="TableStyleMedium8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ED52D946-51BE-4177-AB32-CAFAA1A3486C}" name="Tabela214242728314312" displayName="Tabela214242728314312" ref="A39:C40" insertRowShift="1" totalsRowShown="0" headerRowDxfId="162" dataDxfId="161">
  <autoFilter ref="A39:C40" xr:uid="{ED52D946-51BE-4177-AB32-CAFAA1A3486C}"/>
  <tableColumns count="3">
    <tableColumn id="1" xr3:uid="{063634CA-5D61-4C55-86DA-CD193A5D8F8D}" name="Percepção Subjetiva de Esforço" dataDxfId="160"/>
    <tableColumn id="2" xr3:uid="{B6A9D224-6F0D-45C2-9410-D3222016B791}" name="Tempo da sessão em minutos  " dataDxfId="159"/>
    <tableColumn id="3" xr3:uid="{E96E9C5E-4D0D-4BCE-9E79-1CE19F3918D0}" name="Unidades Arbitrárias " dataDxfId="158">
      <calculatedColumnFormula>Tabela214242728314312[[#This Row],[Percepção Subjetiva de Esforço]]*Tabela214242728314312[[#This Row],[Tempo da sessão em minutos  ]]</calculatedColumnFormula>
    </tableColumn>
  </tableColumns>
  <tableStyleInfo name="TableStyleMedium1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DB63DB9-174E-4AFA-A9C4-0AD999D6B165}" name="Tabela11121252629364437" displayName="Tabela11121252629364437" ref="A45:I52" totalsRowShown="0" headerRowDxfId="157">
  <autoFilter ref="A45:I52" xr:uid="{6DB63DB9-174E-4AFA-A9C4-0AD999D6B165}"/>
  <tableColumns count="9">
    <tableColumn id="1" xr3:uid="{EBA1EFA6-D254-48A2-AF74-15BDDE6A1A8C}" name="Exercícios " dataDxfId="49"/>
    <tableColumn id="2" xr3:uid="{0B6C76E9-4C76-491C-997E-871B7B74781B}" name="Séries " dataDxfId="48"/>
    <tableColumn id="3" xr3:uid="{070D1609-B065-4830-AE99-FCE635265BCE}" name="Repetições" dataDxfId="47"/>
    <tableColumn id="4" xr3:uid="{44B95CA2-679F-4054-BD94-CAB7D19ABAE2}" name="Cadência " dataDxfId="46"/>
    <tableColumn id="5" xr3:uid="{41F8C1F0-908C-4833-83DB-F843E668C7F1}" name="Intervalo " dataDxfId="45"/>
    <tableColumn id="6" xr3:uid="{316D9DB8-9E62-4045-81A8-5FAE26BE6FF1}" name="Método " dataDxfId="44"/>
    <tableColumn id="7" xr3:uid="{A5F12FF0-4CB1-4150-924A-05E540BBBEDB}" name="Observações " dataDxfId="43"/>
    <tableColumn id="8" xr3:uid="{80F9CAF6-FF96-470E-B38A-42B8386B1DCA}" name="Carga (kg)" dataDxfId="156"/>
    <tableColumn id="9" xr3:uid="{C5D97C06-F800-4034-85F7-1BA2A8126EB8}" name="Load" dataDxfId="155">
      <calculatedColumnFormula>Tabela11121252629364437[[#This Row],[Séries ]]*Tabela11121252629364437[[#This Row],[Repetições]]*Tabela11121252629364437[[#This Row],[Carga (kg)]]</calculatedColumnFormula>
    </tableColumn>
  </tableColumns>
  <tableStyleInfo name="TableStyleMedium8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8BF24433-E09D-4E17-AF2E-A4CBFCEB4CD4}" name="Tabela21424272830374538" displayName="Tabela21424272830374538" ref="A53:C54" insertRowShift="1" totalsRowShown="0" headerRowDxfId="154" dataDxfId="153">
  <autoFilter ref="A53:C54" xr:uid="{8BF24433-E09D-4E17-AF2E-A4CBFCEB4CD4}"/>
  <tableColumns count="3">
    <tableColumn id="1" xr3:uid="{39F5CB58-8035-49F6-8E9D-71F85693BEE4}" name="Percepção Subjetiva de Esforço" dataDxfId="152"/>
    <tableColumn id="2" xr3:uid="{EDEF89F8-1C43-4597-B290-7FA4D4E0B37D}" name="Tempo da sessão em minutos  " dataDxfId="151"/>
    <tableColumn id="3" xr3:uid="{A2BFE315-A77D-45BE-8586-5B034426312F}" name="Unidades Arbitrárias " dataDxfId="150">
      <calculatedColumnFormula>Tabela21424272830374538[[#This Row],[Percepção Subjetiva de Esforço]]*Tabela21424272830374538[[#This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37C617EB-98A1-4E5F-8DF4-2A81F6C7D94E}" name="Tabela1112125384639" displayName="Tabela1112125384639" ref="A17:I24" totalsRowShown="0" headerRowDxfId="149">
  <autoFilter ref="A17:I24" xr:uid="{37C617EB-98A1-4E5F-8DF4-2A81F6C7D94E}"/>
  <tableColumns count="9">
    <tableColumn id="1" xr3:uid="{92625C74-03ED-4F14-B520-4555EAFB7F02}" name="Exercícios " dataDxfId="63"/>
    <tableColumn id="2" xr3:uid="{6853D47C-D267-4AB9-AA02-8024C7B948BC}" name="Séries " dataDxfId="62"/>
    <tableColumn id="3" xr3:uid="{C7AD4AFF-A5FE-4985-BC11-ED89139EE533}" name="Repetições" dataDxfId="61"/>
    <tableColumn id="4" xr3:uid="{6EC1038F-16D5-4A14-B4D0-F15ABE4A7D7A}" name="Cadência " dataDxfId="60"/>
    <tableColumn id="5" xr3:uid="{5F96A635-54B8-4114-8C9A-CEAD10EE18D9}" name="Intervalo " dataDxfId="59"/>
    <tableColumn id="6" xr3:uid="{11177163-F0E8-41AF-8DCD-C727B8D91B3A}" name="Método " dataDxfId="58"/>
    <tableColumn id="7" xr3:uid="{887CDFFB-0BD5-4607-B96C-7D99E487FB52}" name="Observações " dataDxfId="57"/>
    <tableColumn id="8" xr3:uid="{6E9B796C-DD98-449E-9C57-AA051593F081}" name="Carga (kg)"/>
    <tableColumn id="9" xr3:uid="{6D79D609-2541-472E-B339-DD1920384546}" name="Load" dataDxfId="148">
      <calculatedColumnFormula>Tabela1112125384639[[#This Row],[Séries ]]*Tabela1112125384639[[#This Row],[Repetições]]*Tabela1112125384639[[#This Row],[Carga (kg)]]</calculatedColumnFormula>
    </tableColumn>
  </tableColumns>
  <tableStyleInfo name="TableStyleMedium8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9719623-6065-455E-9C80-EB0627DE4A26}" name="Tabela2142427394740" displayName="Tabela2142427394740" ref="A25:C26" insertRowShift="1" totalsRowShown="0" headerRowDxfId="147" dataDxfId="146">
  <autoFilter ref="A25:C26" xr:uid="{09719623-6065-455E-9C80-EB0627DE4A26}"/>
  <tableColumns count="3">
    <tableColumn id="1" xr3:uid="{49A4EB11-F2BF-4211-8EE4-A606E99184A4}" name="Percepção Subjetiva de Esforço" dataDxfId="145"/>
    <tableColumn id="2" xr3:uid="{60398DDE-2013-43BE-8D2D-2CE1EE6A4B5F}" name="Tempo da sessão em minutos  " dataDxfId="144"/>
    <tableColumn id="3" xr3:uid="{25620DEB-3E94-4C7C-B7F5-69D2A55FF11C}" name="Unidades Arbitrárias " dataDxfId="143">
      <calculatedColumnFormula>Tabela2142427394740[[#This Row],[Percepção Subjetiva de Esforço]]*Tabela2142427394740[[#This Row],[Tempo da sessão em minutos  ]]</calculatedColumnFormula>
    </tableColumn>
  </tableColumns>
  <tableStyleInfo name="TableStyleMedium1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C063E18A-8AA8-438F-8644-B7070DC005A9}" name="Tabela11121404841" displayName="Tabela11121404841" ref="A2:I9" totalsRowShown="0" headerRowDxfId="142">
  <autoFilter ref="A2:I9" xr:uid="{C063E18A-8AA8-438F-8644-B7070DC005A9}"/>
  <tableColumns count="9">
    <tableColumn id="1" xr3:uid="{1B4F97B3-8309-4BBB-8B66-C02A2175C99A}" name="Exercícios "/>
    <tableColumn id="2" xr3:uid="{071A0867-87DD-498D-90F0-1575267CEA0D}" name="Séries "/>
    <tableColumn id="3" xr3:uid="{C310F1AC-99BF-49FD-8DBE-A61E19787024}" name="Repetições"/>
    <tableColumn id="4" xr3:uid="{DF47DE1E-6E38-4B55-90FF-E5648E178301}" name="Cadência "/>
    <tableColumn id="5" xr3:uid="{8AA00438-83B8-4AC8-9670-F7016D6CCEFF}" name="Intervalo " dataDxfId="141"/>
    <tableColumn id="6" xr3:uid="{FF8262CD-1CD6-4064-BF77-0CA9F8E53F28}" name="Método " dataDxfId="140"/>
    <tableColumn id="7" xr3:uid="{780010BE-F3DD-4D69-B5DA-2FEA129ADCDD}" name="Observações " dataDxfId="139"/>
    <tableColumn id="8" xr3:uid="{33CABB61-93B0-46A0-9A24-C8E7FF47F1C0}" name="Carga (kg)"/>
    <tableColumn id="9" xr3:uid="{A865DD66-6964-4401-AA19-034CA4E46FEF}" name="Load" dataDxfId="138">
      <calculatedColumnFormula>Tabela11121404841[[#This Row],[Séries ]]*Tabela11121404841[[#This Row],[Repetições]]*Tabela11121404841[[#This Row],[Carga (kg)]]</calculatedColumnFormula>
    </tableColumn>
  </tableColumns>
  <tableStyleInfo name="TableStyleMedium8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8DEBDA-1DE5-47CA-816E-9617D217F8F0}" name="Tabela21424" displayName="Tabela21424" ref="A11:C12" insertRowShift="1" totalsRowShown="0" headerRowDxfId="137" dataDxfId="136">
  <autoFilter ref="A11:C12" xr:uid="{86AD0346-4348-41DD-8037-CB853E833B4F}"/>
  <tableColumns count="3">
    <tableColumn id="1" xr3:uid="{8EA3CD63-851F-4669-A9DB-D70D4DE13171}" name="Percepção Subjetiva de Esforço" dataDxfId="135"/>
    <tableColumn id="2" xr3:uid="{45D574E3-399C-4261-988F-1ACFC3AB39E7}" name="Tempo da sessão em minutos  " dataDxfId="134"/>
    <tableColumn id="3" xr3:uid="{90A9B0D0-6144-4CB4-9E47-148979EE74E2}" name="Unidades Arbitrárias " dataDxfId="133">
      <calculatedColumnFormula>Tabela21424[[#This Row],[Percepção Subjetiva de Esforço]]*Tabela21424[[#This Row],[Tempo da sessão em minutos  ]]</calculatedColumnFormula>
    </tableColumn>
  </tableColumns>
  <tableStyleInfo name="TableStyleMedium1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29137297-434E-4F27-B461-E374593C3AD5}" name="Tabela111212526" displayName="Tabela111212526" ref="A31:I38" totalsRowShown="0" headerRowDxfId="132">
  <autoFilter ref="A31:I38" xr:uid="{CD77FB9D-6769-45F6-9CCD-F03BBB5A36B5}"/>
  <tableColumns count="9">
    <tableColumn id="1" xr3:uid="{CF186A0F-E1C0-4B04-918E-67FC8684A862}" name="Exercícios " dataDxfId="34"/>
    <tableColumn id="2" xr3:uid="{3E5AF511-32E5-4ED2-A469-E832A05EECBC}" name="Séries " dataDxfId="33"/>
    <tableColumn id="3" xr3:uid="{7967B829-CE61-4B87-812F-7AFB529617E5}" name="Repetições" dataDxfId="32"/>
    <tableColumn id="4" xr3:uid="{8F6EA199-DAC4-4A26-893C-D1E61DE4E4B6}" name="Cadência " dataDxfId="31"/>
    <tableColumn id="5" xr3:uid="{DB2B3A2F-2B19-4439-A2A0-1FE67691BD14}" name="Intervalo " dataDxfId="30"/>
    <tableColumn id="6" xr3:uid="{31214F93-0ED4-4BC2-9777-33622A0FE0B6}" name="Método " dataDxfId="29"/>
    <tableColumn id="7" xr3:uid="{ED07FDF1-44D8-4554-B9C6-87837D0F92FC}" name="Observações " dataDxfId="28"/>
    <tableColumn id="8" xr3:uid="{6C1BE9B0-8951-41E4-9CB5-9E4BA1711DD1}" name="Carga (kg)"/>
    <tableColumn id="9" xr3:uid="{F751C267-06FD-4A1D-92AC-4357400F4554}" name="Load" dataDxfId="131">
      <calculatedColumnFormula>Tabela111212526[[#This Row],[Séries ]]*Tabela111212526[[#This Row],[Repetições]]*Tabela111212526[[#This Row],[Carga (kg)]]</calculatedColumnFormula>
    </tableColumn>
  </tableColumns>
  <tableStyleInfo name="TableStyleMedium8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EEDACAE5-9511-453F-AFDD-C6AA1E758BFC}" name="Tabela214242728" displayName="Tabela214242728" ref="A39:C40" insertRowShift="1" totalsRowShown="0" headerRowDxfId="130" dataDxfId="129">
  <autoFilter ref="A39:C40" xr:uid="{53490C60-574C-496D-BC6B-F60770E18B4F}"/>
  <tableColumns count="3">
    <tableColumn id="1" xr3:uid="{25FFD27B-2A6A-47EA-BAB2-2860BCCB6F66}" name="Percepção Subjetiva de Esforço" dataDxfId="128"/>
    <tableColumn id="2" xr3:uid="{D228942A-246C-4E3C-9750-0DE01AA8CE33}" name="Tempo da sessão em minutos  " dataDxfId="127"/>
    <tableColumn id="3" xr3:uid="{1BB1A69D-1F23-43E7-9666-11D8E2368A7E}" name="Unidades Arbitrárias " dataDxfId="126">
      <calculatedColumnFormula>Tabela214242728[[#This Row],[Percepção Subjetiva de Esforço]]*Tabela214242728[[#This Row],[Tempo da sessão em minutos  ]]</calculatedColumnFormula>
    </tableColumn>
  </tableColumns>
  <tableStyleInfo name="TableStyleMedium1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EF226FFD-563E-42E8-AB5D-DF28BBEF82E5}" name="Tabela11121252629" displayName="Tabela11121252629" ref="A45:I52" totalsRowShown="0" headerRowDxfId="125">
  <autoFilter ref="A45:I52" xr:uid="{8F82310F-0629-409D-B535-3E685613596E}"/>
  <tableColumns count="9">
    <tableColumn id="1" xr3:uid="{3B064586-9552-400A-9D65-A62AD4889CD3}" name="Exercícios " dataDxfId="27"/>
    <tableColumn id="2" xr3:uid="{B2BC87EE-1479-4034-A5C6-C240435982B8}" name="Séries " dataDxfId="26"/>
    <tableColumn id="3" xr3:uid="{E04DE353-DEF8-44A2-A9E7-09EDF29A74A5}" name="Repetições" dataDxfId="25"/>
    <tableColumn id="4" xr3:uid="{CC911EC0-4A0B-42D2-BF76-4C0463578B07}" name="Cadência " dataDxfId="24"/>
    <tableColumn id="5" xr3:uid="{71613F22-5FEA-420A-B33E-1486926F09FE}" name="Intervalo " dataDxfId="23"/>
    <tableColumn id="6" xr3:uid="{4B816A10-5AB8-4C4B-99FB-218A6312CF82}" name="Método " dataDxfId="22"/>
    <tableColumn id="7" xr3:uid="{03BB4277-793A-4C5B-B4AA-4127B9CE5B6B}" name="Observações " dataDxfId="21"/>
    <tableColumn id="8" xr3:uid="{4893A0BB-9160-421E-BC9C-42BD7B9E082F}" name="Carga (kg)" dataDxfId="124"/>
    <tableColumn id="9" xr3:uid="{219CED9E-0ECC-475B-A494-B52976348D8B}" name="Load" dataDxfId="123">
      <calculatedColumnFormula>Tabela11121252629[[#This Row],[Séries ]]*Tabela11121252629[[#This Row],[Repetições]]*Tabela11121252629[[#This Row],[Carga (kg)]]</calculatedColumnFormula>
    </tableColumn>
  </tableColumns>
  <tableStyleInfo name="TableStyleMedium8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D65E8427-2BB2-4A78-8699-1863ACEFE9C2}" name="Tabela21424272830" displayName="Tabela21424272830" ref="A53:C54" insertRowShift="1" totalsRowShown="0" headerRowDxfId="122" dataDxfId="121">
  <autoFilter ref="A53:C54" xr:uid="{64FD1E19-879E-4A8F-A7FC-614014714E53}"/>
  <tableColumns count="3">
    <tableColumn id="1" xr3:uid="{B930C63F-6ADC-4FD4-8B75-4050BAB9776B}" name="Percepção Subjetiva de Esforço" dataDxfId="120"/>
    <tableColumn id="2" xr3:uid="{3494E26A-7132-4879-9AD9-F2617706CB3E}" name="Tempo da sessão em minutos  " dataDxfId="119"/>
    <tableColumn id="3" xr3:uid="{D81956DE-4CFB-4020-A832-195D75ACA814}" name="Unidades Arbitrárias " dataDxfId="118"/>
  </tableColumns>
  <tableStyleInfo name="TableStyleMedium1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05107AA-F915-4A26-B16F-26013AF5B26B}" name="Tabela1112125" displayName="Tabela1112125" ref="A17:I24" totalsRowShown="0" headerRowDxfId="117">
  <autoFilter ref="A17:I24" xr:uid="{C3578495-086D-445A-B3A6-775C06E0FFF1}"/>
  <tableColumns count="9">
    <tableColumn id="1" xr3:uid="{BE60B3F2-6FAF-4EAD-BC40-AAE9B2D72BCC}" name="Exercícios " dataDxfId="41"/>
    <tableColumn id="2" xr3:uid="{4F814583-3132-4C5E-BDDA-6FA9CDF6A90E}" name="Séries " dataDxfId="40"/>
    <tableColumn id="3" xr3:uid="{A5720211-8DF1-48D4-993E-95132CE7497A}" name="Repetições" dataDxfId="39"/>
    <tableColumn id="4" xr3:uid="{EF4762A3-9FEA-4C79-9736-1D1B5B74E456}" name="Cadência " dataDxfId="38"/>
    <tableColumn id="5" xr3:uid="{CCA116B9-361E-40C5-AE50-078EB359ACF3}" name="Intervalo " dataDxfId="37"/>
    <tableColumn id="6" xr3:uid="{797ECCBD-E807-44CD-A392-C132112E4F91}" name="Método " dataDxfId="36"/>
    <tableColumn id="7" xr3:uid="{CEE2FB95-DE4A-437E-A27C-C56B966E6DC7}" name="Observações " dataDxfId="35"/>
    <tableColumn id="8" xr3:uid="{5DFA1995-0CD3-4CD0-B6FD-095BCE46847B}" name="Carga (kg)"/>
    <tableColumn id="9" xr3:uid="{64EAEDF8-C9C4-4023-BF43-36EA360357CD}" name="Load" dataDxfId="116">
      <calculatedColumnFormula>Tabela1112125[[#This Row],[Séries ]]*Tabela1112125[[#This Row],[Repetições]]*Tabela1112125[[#This Row],[Carga (kg)]]</calculatedColumnFormula>
    </tableColumn>
  </tableColumns>
  <tableStyleInfo name="TableStyleMedium8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30BE486D-786E-4797-881C-4200EF27EF8E}" name="Tabela2142427" displayName="Tabela2142427" ref="A25:C26" insertRowShift="1" totalsRowShown="0" headerRowDxfId="115" dataDxfId="114">
  <autoFilter ref="A25:C26" xr:uid="{3E44A705-874E-4463-8E42-79460A0821BD}"/>
  <tableColumns count="3">
    <tableColumn id="1" xr3:uid="{BD9B361A-17F4-4CA3-A178-6A21CE1692A8}" name="Percepção Subjetiva de Esforço" dataDxfId="113"/>
    <tableColumn id="2" xr3:uid="{64702CA8-2884-47D9-A192-D44DF372F1B3}" name="Tempo da sessão em minutos  " dataDxfId="112"/>
    <tableColumn id="3" xr3:uid="{ED7D175F-CCC6-4649-9075-AD003E164AB2}" name="Unidades Arbitrárias " dataDxfId="111">
      <calculatedColumnFormula>Tabela2142427[[#This Row],[Percepção Subjetiva de Esforço]]*Tabela2142427[[#This Row],[Tempo da sessão em minutos  ]]</calculatedColumnFormula>
    </tableColumn>
  </tableColumns>
  <tableStyleInfo name="TableStyleMedium1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FBEA5F7-6FBC-4574-B7AD-654110F6A16C}" name="Tabela11121" displayName="Tabela11121" ref="A2:I9" totalsRowShown="0" headerRowDxfId="110">
  <autoFilter ref="A2:I9" xr:uid="{22874185-C345-4510-8A74-268A848524F2}"/>
  <tableColumns count="9">
    <tableColumn id="1" xr3:uid="{F5CBEC55-BA9F-443E-8233-7A36BD14F05C}" name="Exercícios "/>
    <tableColumn id="2" xr3:uid="{BC97EB43-5164-48CE-B263-AB2192D88AAA}" name="Séries "/>
    <tableColumn id="3" xr3:uid="{9B20B7E7-CD67-43F4-94E2-CC41282ADEAF}" name="Repetições"/>
    <tableColumn id="4" xr3:uid="{2C72B981-AB4A-46C7-9FE5-899BD08E5A91}" name="Cadência "/>
    <tableColumn id="5" xr3:uid="{9E3D7CC4-6122-4586-9A47-C71E302471EE}" name="Intervalo " dataDxfId="109"/>
    <tableColumn id="6" xr3:uid="{7482CE25-77B0-4089-A3A9-6770EE40D975}" name="Método " dataDxfId="42"/>
    <tableColumn id="7" xr3:uid="{455026B0-AD74-410D-A81C-C91423242AB9}" name="Observações " dataDxfId="108"/>
    <tableColumn id="8" xr3:uid="{FCF2C5BE-56A9-4E3F-A886-18601007413A}" name="Carga (kg)"/>
    <tableColumn id="9" xr3:uid="{CFD87B56-A82F-47B5-9592-7067DC319A7F}" name="Load" dataDxfId="107">
      <calculatedColumnFormula>Tabela11121[[#This Row],[Séries ]]*Tabela11121[[#This Row],[Repetições]]*Tabela11121[[#This Row],[Carga (kg)]]</calculatedColumnFormula>
    </tableColumn>
  </tableColumns>
  <tableStyleInfo name="TableStyleMedium8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5D408AC6-4BC1-469C-9F8E-3FCEC98BA06D}" name="Tabela214242219542" displayName="Tabela214242219542" ref="A10:C11" insertRowShift="1" totalsRowShown="0" headerRowDxfId="276" dataDxfId="275">
  <autoFilter ref="A10:C11" xr:uid="{5D408AC6-4BC1-469C-9F8E-3FCEC98BA06D}"/>
  <tableColumns count="3">
    <tableColumn id="1" xr3:uid="{B4062083-767A-4AC6-A288-7A382DD0580F}" name="Percepção Subjetiva de Esforço" dataDxfId="274"/>
    <tableColumn id="2" xr3:uid="{6C5B4EDD-70EE-4F47-9176-5725AA398A27}" name="Tempo da sessão em minutos  " dataDxfId="273"/>
    <tableColumn id="3" xr3:uid="{85BFDB7F-D1F2-4E6F-AF9B-B6A25EC5BA85}" name="Unidades Arbitrárias " dataDxfId="272">
      <calculatedColumnFormula>Tabela214242219542[[#This Row],[Percepção Subjetiva de Esforço]]*Tabela214242219542[[#This Row],[Tempo da sessão em minutos  ]]</calculatedColumnFormula>
    </tableColumn>
  </tableColumns>
  <tableStyleInfo name="TableStyleMedium1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B626B4B0-296D-4B24-B555-D9763B37E3A7}" name="Tabela21424272831431244" displayName="Tabela21424272831431244" ref="A38:C39" insertRowShift="1" totalsRowShown="0" headerRowDxfId="271" dataDxfId="270">
  <autoFilter ref="A38:C39" xr:uid="{B626B4B0-296D-4B24-B555-D9763B37E3A7}"/>
  <tableColumns count="3">
    <tableColumn id="1" xr3:uid="{4557DFA5-EF24-4546-AA8A-D6A938E7758C}" name="Percepção Subjetiva de Esforço" dataDxfId="269"/>
    <tableColumn id="2" xr3:uid="{97159F1C-7484-4B5C-878F-03F07A3AA5A6}" name="Tempo da sessão em minutos  " dataDxfId="268"/>
    <tableColumn id="3" xr3:uid="{4AD03909-1AE3-4783-ABDA-40C312FFDADA}" name="Unidades Arbitrárias " dataDxfId="267">
      <calculatedColumnFormula>Tabela21424272831431244[[#This Row],[Percepção Subjetiva de Esforço]]*Tabela21424272831431244[[#This Row],[Tempo da sessão em minutos  ]]</calculatedColumnFormula>
    </tableColumn>
  </tableColumns>
  <tableStyleInfo name="TableStyleMedium1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F9B85A8D-6FE9-41B3-87D7-95F4918F6BFA}" name="Tabela1112125262936443745" displayName="Tabela1112125262936443745" ref="A44:I51" totalsRowShown="0" headerRowDxfId="266">
  <autoFilter ref="A44:I51" xr:uid="{F9B85A8D-6FE9-41B3-87D7-95F4918F6BFA}"/>
  <tableColumns count="9">
    <tableColumn id="1" xr3:uid="{5DB9E3D0-1F60-49F3-9664-D57CF6BA305F}" name="Exercícios " dataDxfId="6"/>
    <tableColumn id="2" xr3:uid="{550FFE8E-C19E-4175-8AD6-072AA39D3BF5}" name="Séries " dataDxfId="5"/>
    <tableColumn id="3" xr3:uid="{92A410FF-B67E-4081-937F-A77CA01E4E71}" name="Repetições" dataDxfId="4"/>
    <tableColumn id="4" xr3:uid="{C6E6B523-C4D1-412F-B296-C1E7AE92E6AB}" name="Cadência " dataDxfId="3"/>
    <tableColumn id="5" xr3:uid="{4A413999-C637-45AE-A73E-CAE8614955AE}" name="Intervalo " dataDxfId="2"/>
    <tableColumn id="6" xr3:uid="{DFD10059-7D08-49D5-A8BE-3EDDD66C14F9}" name="Método " dataDxfId="1"/>
    <tableColumn id="7" xr3:uid="{EE2514D2-0BF3-4E97-8EC2-B4377A0A3B77}" name="Observações " dataDxfId="0"/>
    <tableColumn id="8" xr3:uid="{BD5C215C-4C1E-4990-A297-5E576071A24F}" name="Carga (kg)" dataDxfId="265"/>
    <tableColumn id="9" xr3:uid="{23501BAF-287F-4C0D-97E6-CF6D82B71458}" name="Load" dataDxfId="264">
      <calculatedColumnFormula>Tabela1112125262936443745[[#This Row],[Séries ]]*Tabela1112125262936443745[[#This Row],[Repetições]]*Tabela1112125262936443745[[#This Row],[Carga (kg)]]</calculatedColumnFormula>
    </tableColumn>
  </tableColumns>
  <tableStyleInfo name="TableStyleMedium8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6C4441EC-05D3-46EA-BD1D-C777E3DA7FC6}" name="Tabela2142427283037453846" displayName="Tabela2142427283037453846" ref="A52:C53" insertRowShift="1" totalsRowShown="0" headerRowDxfId="263" dataDxfId="262">
  <autoFilter ref="A52:C53" xr:uid="{6C4441EC-05D3-46EA-BD1D-C777E3DA7FC6}"/>
  <tableColumns count="3">
    <tableColumn id="1" xr3:uid="{592014C0-45E6-461C-94E1-B547FD9D0436}" name="Percepção Subjetiva de Esforço" dataDxfId="261"/>
    <tableColumn id="2" xr3:uid="{7AA728F0-C0E7-48FB-B184-92F3CF1D5859}" name="Tempo da sessão em minutos  " dataDxfId="260"/>
    <tableColumn id="3" xr3:uid="{9FA42291-BE6E-4700-A93B-490A25B0BD86}" name="Unidades Arbitrárias " dataDxfId="259">
      <calculatedColumnFormula>Tabela2142427283037453846[[#This Row],[Percepção Subjetiva de Esforço]]*Tabela2142427283037453846[[#This Row],[Tempo da sessão em minutos  ]]</calculatedColumnFormula>
    </tableColumn>
  </tableColumns>
  <tableStyleInfo name="TableStyleMedium1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B61448DC-AE05-45E5-8905-C8AD6F6732C6}" name="Tabela111212538463947" displayName="Tabela111212538463947" ref="A16:I23" totalsRowShown="0" headerRowDxfId="258">
  <autoFilter ref="A16:I23" xr:uid="{B61448DC-AE05-45E5-8905-C8AD6F6732C6}"/>
  <tableColumns count="9">
    <tableColumn id="1" xr3:uid="{66FF9683-F392-43FC-B666-6202C66D32FE}" name="Exercícios " dataDxfId="20"/>
    <tableColumn id="2" xr3:uid="{35E18BD7-EEA5-47F5-B683-1B0B5B5AF4B1}" name="Séries " dataDxfId="19"/>
    <tableColumn id="3" xr3:uid="{9740415C-634A-4039-BFBC-0F1CDB07262C}" name="Repetições" dataDxfId="18"/>
    <tableColumn id="4" xr3:uid="{0A6E31F9-6FF5-41EA-B3A8-3F82E98571A9}" name="Cadência " dataDxfId="17"/>
    <tableColumn id="5" xr3:uid="{D54E7FAC-3A60-4DD2-AB5B-37958462AF85}" name="Intervalo " dataDxfId="16"/>
    <tableColumn id="6" xr3:uid="{4233B88B-570C-46AF-8A52-6E4E4760652F}" name="Método " dataDxfId="15"/>
    <tableColumn id="7" xr3:uid="{6EF3E587-C394-4247-8A8D-5C50F8A696E3}" name="Observações " dataDxfId="14"/>
    <tableColumn id="8" xr3:uid="{FA7FE474-7EEE-48CD-A9DE-1427923D4A14}" name="Carga (kg)" dataDxfId="257"/>
    <tableColumn id="9" xr3:uid="{C00A3D64-35F6-4439-8C4E-DCD6B33329C5}" name="Load" dataDxfId="256">
      <calculatedColumnFormula>Tabela111212538463947[[#This Row],[Séries ]]*Tabela111212538463947[[#This Row],[Repetições]]*Tabela111212538463947[[#This Row],[Carga (kg)]]</calculatedColumnFormula>
    </tableColumn>
  </tableColumns>
  <tableStyleInfo name="TableStyleMedium8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F3C17CB7-FE4E-4EC4-9795-E1E5A10F79A2}" name="Tabela214242739474048" displayName="Tabela214242739474048" ref="A24:C25" insertRowShift="1" totalsRowShown="0" headerRowDxfId="255" dataDxfId="254">
  <autoFilter ref="A24:C25" xr:uid="{F3C17CB7-FE4E-4EC4-9795-E1E5A10F79A2}"/>
  <tableColumns count="3">
    <tableColumn id="1" xr3:uid="{C1EE7C74-E01A-4A62-BCB8-3C70296CAA43}" name="Percepção Subjetiva de Esforço" dataDxfId="253"/>
    <tableColumn id="2" xr3:uid="{BAD727B9-D659-49C4-8DB1-69CED151DF6B}" name="Tempo da sessão em minutos  " dataDxfId="252"/>
    <tableColumn id="3" xr3:uid="{40CCAFA7-727B-456C-9656-2B1DCB85486F}" name="Unidades Arbitrárias " dataDxfId="251">
      <calculatedColumnFormula>Tabela214242739474048[[#This Row],[Percepção Subjetiva de Esforço]]*Tabela214242739474048[[#This Row],[Tempo da sessão em minutos  ]]</calculatedColumnFormula>
    </tableColumn>
  </tableColumns>
  <tableStyleInfo name="TableStyleMedium1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B1C02F8-B8D6-4357-B43D-E59DA97354C7}" name="Tabela1112140484149" displayName="Tabela1112140484149" ref="A2:I9" totalsRowShown="0" headerRowDxfId="250">
  <autoFilter ref="A2:I9" xr:uid="{FB1C02F8-B8D6-4357-B43D-E59DA97354C7}"/>
  <tableColumns count="9">
    <tableColumn id="1" xr3:uid="{40290E30-ABDD-456F-A887-05889C08010E}" name="Exercícios "/>
    <tableColumn id="2" xr3:uid="{7C52CD04-1DD2-48AF-95F1-49E76C1093AE}" name="Séries "/>
    <tableColumn id="3" xr3:uid="{E4149E60-5052-40E5-BAF5-69823FD8BF43}" name="Repetições"/>
    <tableColumn id="4" xr3:uid="{95918E6D-E523-4C55-A151-7D781D577A13}" name="Cadência "/>
    <tableColumn id="5" xr3:uid="{2A2A3EB1-37C1-4424-BE70-DDF1F57DABAA}" name="Intervalo " dataDxfId="249"/>
    <tableColumn id="6" xr3:uid="{48F3FC3C-D3F9-46E7-B461-6CBF3C71D5B8}" name="Método " dataDxfId="248"/>
    <tableColumn id="7" xr3:uid="{5A36C0D9-5B94-405C-9A5D-C45D9F8167B5}" name="Observações " dataDxfId="247"/>
    <tableColumn id="8" xr3:uid="{CE4A25A8-ED14-46F6-824F-4315381ADA17}" name="Carga (kg)"/>
    <tableColumn id="9" xr3:uid="{D38EF5BE-AEEF-45AD-9A6C-C71BAA8BFEC3}" name="Load" dataDxfId="246">
      <calculatedColumnFormula>Tabela1112140484149[[#This Row],[Séries ]]*Tabela1112140484149[[#This Row],[Repetições]]*Tabela1112140484149[[#This Row],[Carga (kg)]]</calculatedColumnFormula>
    </tableColumn>
  </tableColumns>
  <tableStyleInfo name="TableStyleMedium8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95C9744B-8EBF-4C51-B232-54635EFA9903}" name="Tabela11121253846394750" displayName="Tabela11121253846394750" ref="A30:I37" totalsRowShown="0" headerRowDxfId="245">
  <autoFilter ref="A30:I37" xr:uid="{95C9744B-8EBF-4C51-B232-54635EFA9903}"/>
  <tableColumns count="9">
    <tableColumn id="1" xr3:uid="{68B39B1D-6053-4B22-8C36-E68714962363}" name="Exercícios " dataDxfId="13"/>
    <tableColumn id="2" xr3:uid="{66CC219A-0764-4866-BED2-6A83126D2FD1}" name="Séries " dataDxfId="12"/>
    <tableColumn id="3" xr3:uid="{EB394197-2DEE-4215-9E7C-C176B94B3A28}" name="Repetições" dataDxfId="11"/>
    <tableColumn id="4" xr3:uid="{415CB42E-1584-4D24-A25E-54D0E1F76D57}" name="Cadência " dataDxfId="10"/>
    <tableColumn id="5" xr3:uid="{2C34C92F-8EBB-4065-B034-E822C659F401}" name="Intervalo " dataDxfId="9"/>
    <tableColumn id="6" xr3:uid="{62435DD8-1AD7-403B-A7C4-37A7757C3264}" name="Método " dataDxfId="8"/>
    <tableColumn id="7" xr3:uid="{C358D7B3-E985-4215-AF0F-8C4FA0A93928}" name="Observações " dataDxfId="7"/>
    <tableColumn id="8" xr3:uid="{9ABB7A1F-878F-4A42-AE5D-084756C67A95}" name="Carga (kg)" dataDxfId="244"/>
    <tableColumn id="9" xr3:uid="{E99D4F7F-CFB8-4478-A968-ADE9BF2CFFA3}" name="Load" dataDxfId="243">
      <calculatedColumnFormula>Tabela11121253846394750[[#This Row],[Séries ]]*Tabela11121253846394750[[#This Row],[Repetições]]*Tabela11121253846394750[[#This Row],[Carga (kg)]]</calculatedColumnFormula>
    </tableColumn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6.xml"/><Relationship Id="rId3" Type="http://schemas.openxmlformats.org/officeDocument/2006/relationships/table" Target="../tables/table1.xml"/><Relationship Id="rId7" Type="http://schemas.openxmlformats.org/officeDocument/2006/relationships/table" Target="../tables/table5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4.xml"/><Relationship Id="rId5" Type="http://schemas.openxmlformats.org/officeDocument/2006/relationships/table" Target="../tables/table3.xml"/><Relationship Id="rId10" Type="http://schemas.openxmlformats.org/officeDocument/2006/relationships/table" Target="../tables/table8.xml"/><Relationship Id="rId4" Type="http://schemas.openxmlformats.org/officeDocument/2006/relationships/table" Target="../tables/table2.xml"/><Relationship Id="rId9" Type="http://schemas.openxmlformats.org/officeDocument/2006/relationships/table" Target="../tables/table7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4.xml"/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10" Type="http://schemas.openxmlformats.org/officeDocument/2006/relationships/table" Target="../tables/table16.xml"/><Relationship Id="rId4" Type="http://schemas.openxmlformats.org/officeDocument/2006/relationships/table" Target="../tables/table10.xml"/><Relationship Id="rId9" Type="http://schemas.openxmlformats.org/officeDocument/2006/relationships/table" Target="../tables/table15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2.xml"/><Relationship Id="rId3" Type="http://schemas.openxmlformats.org/officeDocument/2006/relationships/table" Target="../tables/table17.xml"/><Relationship Id="rId7" Type="http://schemas.openxmlformats.org/officeDocument/2006/relationships/table" Target="../tables/table2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20.xml"/><Relationship Id="rId5" Type="http://schemas.openxmlformats.org/officeDocument/2006/relationships/table" Target="../tables/table19.xml"/><Relationship Id="rId10" Type="http://schemas.openxmlformats.org/officeDocument/2006/relationships/table" Target="../tables/table24.xml"/><Relationship Id="rId4" Type="http://schemas.openxmlformats.org/officeDocument/2006/relationships/table" Target="../tables/table18.xml"/><Relationship Id="rId9" Type="http://schemas.openxmlformats.org/officeDocument/2006/relationships/table" Target="../tables/table2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0.xml"/><Relationship Id="rId3" Type="http://schemas.openxmlformats.org/officeDocument/2006/relationships/table" Target="../tables/table25.xml"/><Relationship Id="rId7" Type="http://schemas.openxmlformats.org/officeDocument/2006/relationships/table" Target="../tables/table29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8.xml"/><Relationship Id="rId5" Type="http://schemas.openxmlformats.org/officeDocument/2006/relationships/table" Target="../tables/table27.xml"/><Relationship Id="rId10" Type="http://schemas.openxmlformats.org/officeDocument/2006/relationships/table" Target="../tables/table32.xml"/><Relationship Id="rId4" Type="http://schemas.openxmlformats.org/officeDocument/2006/relationships/table" Target="../tables/table26.xml"/><Relationship Id="rId9" Type="http://schemas.openxmlformats.org/officeDocument/2006/relationships/table" Target="../tables/table3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9.xml"/><Relationship Id="rId3" Type="http://schemas.openxmlformats.org/officeDocument/2006/relationships/table" Target="../tables/table34.xml"/><Relationship Id="rId7" Type="http://schemas.openxmlformats.org/officeDocument/2006/relationships/table" Target="../tables/table38.xml"/><Relationship Id="rId2" Type="http://schemas.openxmlformats.org/officeDocument/2006/relationships/table" Target="../tables/table33.xml"/><Relationship Id="rId1" Type="http://schemas.openxmlformats.org/officeDocument/2006/relationships/drawing" Target="../drawings/drawing5.xml"/><Relationship Id="rId6" Type="http://schemas.openxmlformats.org/officeDocument/2006/relationships/table" Target="../tables/table37.xml"/><Relationship Id="rId5" Type="http://schemas.openxmlformats.org/officeDocument/2006/relationships/table" Target="../tables/table36.xml"/><Relationship Id="rId4" Type="http://schemas.openxmlformats.org/officeDocument/2006/relationships/table" Target="../tables/table35.xml"/><Relationship Id="rId9" Type="http://schemas.openxmlformats.org/officeDocument/2006/relationships/table" Target="../tables/table40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9126B-93F3-4211-BCF9-EC27690C73C0}">
  <dimension ref="A1:M54"/>
  <sheetViews>
    <sheetView topLeftCell="A35" workbookViewId="0">
      <selection activeCell="A46" sqref="A46:G52"/>
    </sheetView>
  </sheetViews>
  <sheetFormatPr defaultRowHeight="15" x14ac:dyDescent="0.25"/>
  <cols>
    <col min="1" max="1" width="50" bestFit="1" customWidth="1"/>
    <col min="2" max="2" width="33" bestFit="1" customWidth="1"/>
    <col min="3" max="3" width="24.42578125" bestFit="1" customWidth="1"/>
    <col min="4" max="5" width="14" bestFit="1" customWidth="1"/>
    <col min="6" max="6" width="24" bestFit="1" customWidth="1"/>
    <col min="7" max="7" width="52.140625" bestFit="1" customWidth="1"/>
    <col min="8" max="8" width="14.28515625" bestFit="1" customWidth="1"/>
  </cols>
  <sheetData>
    <row r="1" spans="1:9" x14ac:dyDescent="0.25">
      <c r="A1" s="17" t="s">
        <v>15</v>
      </c>
      <c r="B1" s="17"/>
      <c r="C1" s="17"/>
      <c r="D1" s="17"/>
      <c r="E1" s="17"/>
      <c r="F1" s="17"/>
      <c r="G1" s="17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5">
      <c r="A3" s="1" t="s">
        <v>83</v>
      </c>
      <c r="B3" s="1">
        <v>3</v>
      </c>
      <c r="C3" s="1">
        <v>10</v>
      </c>
      <c r="D3" s="2">
        <v>8.4722222222222213E-2</v>
      </c>
      <c r="E3" s="1">
        <v>90</v>
      </c>
      <c r="F3" s="5" t="s">
        <v>53</v>
      </c>
      <c r="G3" s="1" t="s">
        <v>90</v>
      </c>
      <c r="H3" s="1"/>
      <c r="I3" s="1">
        <f>Tabela1[[#This Row],[Séries ]]*Tabela1[[#This Row],[Repetições]]*Tabela1[[#This Row],[Carga (kg)]]</f>
        <v>0</v>
      </c>
    </row>
    <row r="4" spans="1:9" x14ac:dyDescent="0.25">
      <c r="A4" s="1" t="s">
        <v>84</v>
      </c>
      <c r="B4" s="1">
        <v>3</v>
      </c>
      <c r="C4" s="1">
        <v>10</v>
      </c>
      <c r="D4" s="2">
        <v>8.4722222222222213E-2</v>
      </c>
      <c r="E4" s="1">
        <v>90</v>
      </c>
      <c r="F4" s="5" t="s">
        <v>53</v>
      </c>
      <c r="G4" s="1" t="s">
        <v>90</v>
      </c>
      <c r="H4" s="1"/>
      <c r="I4" s="1">
        <f>Tabela1[[#This Row],[Séries ]]*Tabela1[[#This Row],[Repetições]]*Tabela1[[#This Row],[Carga (kg)]]</f>
        <v>0</v>
      </c>
    </row>
    <row r="5" spans="1:9" x14ac:dyDescent="0.25">
      <c r="A5" s="1" t="s">
        <v>85</v>
      </c>
      <c r="B5" s="4">
        <v>2</v>
      </c>
      <c r="C5" s="4">
        <v>6</v>
      </c>
      <c r="D5" s="2">
        <v>8.4722222222222213E-2</v>
      </c>
      <c r="E5" s="1">
        <v>90</v>
      </c>
      <c r="F5" s="5" t="s">
        <v>42</v>
      </c>
      <c r="G5" s="1" t="s">
        <v>88</v>
      </c>
      <c r="H5" s="1"/>
      <c r="I5" s="1">
        <f>Tabela1[[#This Row],[Séries ]]*Tabela1[[#This Row],[Repetições]]*Tabela1[[#This Row],[Carga (kg)]]</f>
        <v>0</v>
      </c>
    </row>
    <row r="6" spans="1:9" x14ac:dyDescent="0.25">
      <c r="A6" s="1" t="s">
        <v>86</v>
      </c>
      <c r="B6" s="4">
        <v>2</v>
      </c>
      <c r="C6" s="4">
        <v>6</v>
      </c>
      <c r="D6" s="2">
        <v>8.4722222222222213E-2</v>
      </c>
      <c r="E6" s="1">
        <v>90</v>
      </c>
      <c r="F6" s="5" t="s">
        <v>42</v>
      </c>
      <c r="G6" s="1" t="s">
        <v>88</v>
      </c>
      <c r="H6" s="1"/>
      <c r="I6" s="1">
        <f>Tabela1[[#This Row],[Séries ]]*Tabela1[[#This Row],[Repetições]]*Tabela1[[#This Row],[Carga (kg)]]</f>
        <v>0</v>
      </c>
    </row>
    <row r="7" spans="1:9" x14ac:dyDescent="0.25">
      <c r="A7" s="1" t="s">
        <v>91</v>
      </c>
      <c r="B7" s="4">
        <v>2</v>
      </c>
      <c r="C7" s="4">
        <v>6</v>
      </c>
      <c r="D7" s="2">
        <v>8.4722222222222213E-2</v>
      </c>
      <c r="E7" s="1">
        <v>90</v>
      </c>
      <c r="F7" s="5" t="s">
        <v>42</v>
      </c>
      <c r="G7" s="1" t="s">
        <v>88</v>
      </c>
      <c r="H7" s="1"/>
      <c r="I7" s="1">
        <f>Tabela1[[#This Row],[Séries ]]*Tabela1[[#This Row],[Repetições]]*Tabela1[[#This Row],[Carga (kg)]]</f>
        <v>0</v>
      </c>
    </row>
    <row r="8" spans="1:9" x14ac:dyDescent="0.25">
      <c r="A8" s="1" t="s">
        <v>87</v>
      </c>
      <c r="B8" s="4">
        <v>2</v>
      </c>
      <c r="C8" s="4">
        <v>6</v>
      </c>
      <c r="D8" s="2">
        <v>8.4722222222222213E-2</v>
      </c>
      <c r="E8" s="1">
        <v>90</v>
      </c>
      <c r="F8" s="5" t="s">
        <v>42</v>
      </c>
      <c r="G8" s="1" t="s">
        <v>88</v>
      </c>
      <c r="H8" s="1"/>
      <c r="I8" s="1">
        <f>Tabela1[[#This Row],[Séries ]]*Tabela1[[#This Row],[Repetições]]*Tabela1[[#This Row],[Carga (kg)]]</f>
        <v>0</v>
      </c>
    </row>
    <row r="9" spans="1:9" x14ac:dyDescent="0.25">
      <c r="A9" s="1" t="s">
        <v>89</v>
      </c>
      <c r="B9" s="1">
        <v>3</v>
      </c>
      <c r="C9" s="1">
        <v>10</v>
      </c>
      <c r="D9" s="2">
        <v>8.4722222222222213E-2</v>
      </c>
      <c r="E9" s="1">
        <v>90</v>
      </c>
      <c r="F9" s="5" t="s">
        <v>44</v>
      </c>
      <c r="G9" s="1"/>
      <c r="H9" s="1"/>
      <c r="I9" s="1">
        <f>Tabela1[[#This Row],[Séries ]]*Tabela1[[#This Row],[Repetições]]*Tabela1[[#This Row],[Carga (kg)]]</f>
        <v>0</v>
      </c>
    </row>
    <row r="10" spans="1:9" ht="15.75" thickBot="1" x14ac:dyDescent="0.3"/>
    <row r="11" spans="1:9" x14ac:dyDescent="0.25">
      <c r="A11" s="1" t="s">
        <v>8</v>
      </c>
      <c r="B11" s="1" t="s">
        <v>10</v>
      </c>
      <c r="C11" s="1" t="s">
        <v>9</v>
      </c>
      <c r="E11" s="13" t="s">
        <v>11</v>
      </c>
      <c r="F11" s="15"/>
    </row>
    <row r="12" spans="1:9" ht="15.75" thickBot="1" x14ac:dyDescent="0.3">
      <c r="A12" s="1"/>
      <c r="B12" s="1"/>
      <c r="C12" s="1">
        <f>Tabela2[[#This Row],[Percepção Subjetiva de Esforço]]*Tabela2[[#This Row],[Tempo da sessão em minutos  ]]</f>
        <v>0</v>
      </c>
      <c r="E12" s="10">
        <f>I3+I4+I5+I6+I7+I8</f>
        <v>0</v>
      </c>
      <c r="F12" s="11"/>
    </row>
    <row r="13" spans="1:9" x14ac:dyDescent="0.25">
      <c r="A13" s="18"/>
      <c r="B13" s="18"/>
      <c r="C13" s="18"/>
    </row>
    <row r="14" spans="1:9" x14ac:dyDescent="0.25">
      <c r="A14" s="16"/>
      <c r="B14" s="16"/>
      <c r="C14" s="16"/>
      <c r="D14" s="16"/>
      <c r="E14" s="16"/>
      <c r="F14" s="16"/>
      <c r="G14" s="16"/>
      <c r="H14" s="16"/>
    </row>
    <row r="16" spans="1:9" x14ac:dyDescent="0.25">
      <c r="A16" s="17" t="s">
        <v>18</v>
      </c>
      <c r="B16" s="17"/>
      <c r="C16" s="17"/>
      <c r="D16" s="17"/>
      <c r="E16" s="17"/>
      <c r="F16" s="17"/>
      <c r="G16" s="17"/>
    </row>
    <row r="17" spans="1: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25">
      <c r="A18" s="1" t="s">
        <v>83</v>
      </c>
      <c r="B18" s="1">
        <v>3</v>
      </c>
      <c r="C18" s="1">
        <v>10</v>
      </c>
      <c r="D18" s="2">
        <v>8.4722222222222213E-2</v>
      </c>
      <c r="E18" s="1">
        <v>90</v>
      </c>
      <c r="F18" s="5" t="s">
        <v>53</v>
      </c>
      <c r="G18" s="1" t="s">
        <v>90</v>
      </c>
      <c r="H18" s="1"/>
      <c r="I18" s="1">
        <f>Tabela14[[#This Row],[Séries ]]*Tabela14[[#This Row],[Repetições]]*Tabela14[[#This Row],[Carga (kg)]]</f>
        <v>0</v>
      </c>
    </row>
    <row r="19" spans="1:9" x14ac:dyDescent="0.25">
      <c r="A19" s="1" t="s">
        <v>84</v>
      </c>
      <c r="B19" s="1">
        <v>3</v>
      </c>
      <c r="C19" s="1">
        <v>10</v>
      </c>
      <c r="D19" s="2">
        <v>8.4722222222222213E-2</v>
      </c>
      <c r="E19" s="1">
        <v>90</v>
      </c>
      <c r="F19" s="5" t="s">
        <v>53</v>
      </c>
      <c r="G19" s="1" t="s">
        <v>90</v>
      </c>
      <c r="H19" s="1"/>
      <c r="I19" s="1">
        <f>Tabela14[[#This Row],[Séries ]]*Tabela14[[#This Row],[Repetições]]*Tabela14[[#This Row],[Carga (kg)]]</f>
        <v>0</v>
      </c>
    </row>
    <row r="20" spans="1:9" x14ac:dyDescent="0.25">
      <c r="A20" s="1" t="s">
        <v>85</v>
      </c>
      <c r="B20" s="4">
        <v>2</v>
      </c>
      <c r="C20" s="4">
        <v>6</v>
      </c>
      <c r="D20" s="2">
        <v>8.4722222222222213E-2</v>
      </c>
      <c r="E20" s="1">
        <v>90</v>
      </c>
      <c r="F20" s="5" t="s">
        <v>42</v>
      </c>
      <c r="G20" s="1" t="s">
        <v>88</v>
      </c>
      <c r="H20" s="1"/>
      <c r="I20" s="1">
        <f>Tabela14[[#This Row],[Séries ]]*Tabela14[[#This Row],[Repetições]]*Tabela14[[#This Row],[Carga (kg)]]</f>
        <v>0</v>
      </c>
    </row>
    <row r="21" spans="1:9" x14ac:dyDescent="0.25">
      <c r="A21" s="1" t="s">
        <v>86</v>
      </c>
      <c r="B21" s="4">
        <v>2</v>
      </c>
      <c r="C21" s="4">
        <v>6</v>
      </c>
      <c r="D21" s="2">
        <v>8.4722222222222213E-2</v>
      </c>
      <c r="E21" s="1">
        <v>90</v>
      </c>
      <c r="F21" s="5" t="s">
        <v>42</v>
      </c>
      <c r="G21" s="1" t="s">
        <v>88</v>
      </c>
      <c r="H21" s="1"/>
      <c r="I21" s="1">
        <f>Tabela14[[#This Row],[Séries ]]*Tabela14[[#This Row],[Repetições]]*Tabela14[[#This Row],[Carga (kg)]]</f>
        <v>0</v>
      </c>
    </row>
    <row r="22" spans="1:9" x14ac:dyDescent="0.25">
      <c r="A22" s="1" t="s">
        <v>91</v>
      </c>
      <c r="B22" s="4">
        <v>2</v>
      </c>
      <c r="C22" s="4">
        <v>6</v>
      </c>
      <c r="D22" s="2">
        <v>8.4722222222222213E-2</v>
      </c>
      <c r="E22" s="1">
        <v>90</v>
      </c>
      <c r="F22" s="5" t="s">
        <v>42</v>
      </c>
      <c r="G22" s="1" t="s">
        <v>88</v>
      </c>
      <c r="H22" s="1"/>
      <c r="I22" s="1">
        <f>Tabela14[[#This Row],[Séries ]]*Tabela14[[#This Row],[Repetições]]*Tabela14[[#This Row],[Carga (kg)]]</f>
        <v>0</v>
      </c>
    </row>
    <row r="23" spans="1:9" x14ac:dyDescent="0.25">
      <c r="A23" s="1" t="s">
        <v>87</v>
      </c>
      <c r="B23" s="4">
        <v>2</v>
      </c>
      <c r="C23" s="4">
        <v>6</v>
      </c>
      <c r="D23" s="2">
        <v>8.4722222222222213E-2</v>
      </c>
      <c r="E23" s="1">
        <v>90</v>
      </c>
      <c r="F23" s="5" t="s">
        <v>42</v>
      </c>
      <c r="G23" s="1" t="s">
        <v>88</v>
      </c>
      <c r="H23" s="1"/>
      <c r="I23" s="1">
        <f>Tabela14[[#This Row],[Séries ]]*Tabela14[[#This Row],[Repetições]]*Tabela14[[#This Row],[Carga (kg)]]</f>
        <v>0</v>
      </c>
    </row>
    <row r="24" spans="1:9" ht="15.75" thickBot="1" x14ac:dyDescent="0.3">
      <c r="A24" s="1" t="s">
        <v>89</v>
      </c>
      <c r="B24" s="1">
        <v>3</v>
      </c>
      <c r="C24" s="1">
        <v>10</v>
      </c>
      <c r="D24" s="2">
        <v>8.4722222222222213E-2</v>
      </c>
      <c r="E24" s="1">
        <v>90</v>
      </c>
      <c r="F24" s="5" t="s">
        <v>44</v>
      </c>
      <c r="G24" s="1"/>
      <c r="H24" s="1"/>
      <c r="I24" s="1">
        <f>Tabela14[[#This Row],[Séries ]]*Tabela14[[#This Row],[Repetições]]*Tabela14[[#This Row],[Carga (kg)]]</f>
        <v>0</v>
      </c>
    </row>
    <row r="25" spans="1:9" x14ac:dyDescent="0.25">
      <c r="A25" s="1" t="s">
        <v>8</v>
      </c>
      <c r="B25" s="1" t="s">
        <v>10</v>
      </c>
      <c r="C25" s="1" t="s">
        <v>9</v>
      </c>
      <c r="E25" s="13" t="s">
        <v>11</v>
      </c>
      <c r="F25" s="15"/>
    </row>
    <row r="26" spans="1:9" ht="15.75" thickBot="1" x14ac:dyDescent="0.3">
      <c r="A26" s="1"/>
      <c r="B26" s="1"/>
      <c r="C26" s="1">
        <f>Tabela26[[#This Row],[Percepção Subjetiva de Esforço]]*Tabela26[[#This Row],[Tempo da sessão em minutos  ]]</f>
        <v>0</v>
      </c>
      <c r="E26" s="10">
        <f>I18+I19+I20+I21+I22+I23</f>
        <v>0</v>
      </c>
      <c r="F26" s="11"/>
    </row>
    <row r="28" spans="1:9" x14ac:dyDescent="0.25">
      <c r="A28" s="16"/>
      <c r="B28" s="16"/>
      <c r="C28" s="16"/>
      <c r="D28" s="16"/>
      <c r="E28" s="16"/>
      <c r="F28" s="16"/>
      <c r="G28" s="16"/>
      <c r="H28" s="16"/>
    </row>
    <row r="30" spans="1:9" x14ac:dyDescent="0.25">
      <c r="A30" s="17" t="s">
        <v>17</v>
      </c>
      <c r="B30" s="17"/>
      <c r="C30" s="17"/>
      <c r="D30" s="17"/>
      <c r="E30" s="17"/>
      <c r="F30" s="17"/>
      <c r="G30" s="17"/>
    </row>
    <row r="31" spans="1:9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25">
      <c r="A32" s="1" t="s">
        <v>83</v>
      </c>
      <c r="B32" s="1">
        <v>3</v>
      </c>
      <c r="C32" s="1">
        <v>10</v>
      </c>
      <c r="D32" s="2">
        <v>8.4722222222222213E-2</v>
      </c>
      <c r="E32" s="1">
        <v>90</v>
      </c>
      <c r="F32" s="5" t="s">
        <v>53</v>
      </c>
      <c r="G32" s="1" t="s">
        <v>90</v>
      </c>
      <c r="H32" s="1"/>
      <c r="I32" s="1">
        <f>Tabela149[[#This Row],[Séries ]]*Tabela149[[#This Row],[Repetições]]*Tabela149[[#This Row],[Carga (kg)]]</f>
        <v>0</v>
      </c>
    </row>
    <row r="33" spans="1:13" x14ac:dyDescent="0.25">
      <c r="A33" s="1" t="s">
        <v>84</v>
      </c>
      <c r="B33" s="1">
        <v>3</v>
      </c>
      <c r="C33" s="1">
        <v>10</v>
      </c>
      <c r="D33" s="2">
        <v>8.4722222222222213E-2</v>
      </c>
      <c r="E33" s="1">
        <v>90</v>
      </c>
      <c r="F33" s="5" t="s">
        <v>53</v>
      </c>
      <c r="G33" s="1" t="s">
        <v>90</v>
      </c>
      <c r="H33" s="1"/>
      <c r="I33" s="1">
        <f>Tabela149[[#This Row],[Séries ]]*Tabela149[[#This Row],[Repetições]]*Tabela149[[#This Row],[Carga (kg)]]</f>
        <v>0</v>
      </c>
    </row>
    <row r="34" spans="1:13" x14ac:dyDescent="0.25">
      <c r="A34" s="1" t="s">
        <v>85</v>
      </c>
      <c r="B34" s="4">
        <v>2</v>
      </c>
      <c r="C34" s="4">
        <v>6</v>
      </c>
      <c r="D34" s="2">
        <v>8.4722222222222213E-2</v>
      </c>
      <c r="E34" s="1">
        <v>90</v>
      </c>
      <c r="F34" s="5" t="s">
        <v>42</v>
      </c>
      <c r="G34" s="1" t="s">
        <v>88</v>
      </c>
      <c r="H34" s="1"/>
      <c r="I34" s="1">
        <f>Tabela149[[#This Row],[Séries ]]*Tabela149[[#This Row],[Repetições]]*Tabela149[[#This Row],[Carga (kg)]]</f>
        <v>0</v>
      </c>
    </row>
    <row r="35" spans="1:13" x14ac:dyDescent="0.25">
      <c r="A35" s="1" t="s">
        <v>86</v>
      </c>
      <c r="B35" s="4">
        <v>2</v>
      </c>
      <c r="C35" s="4">
        <v>6</v>
      </c>
      <c r="D35" s="2">
        <v>8.4722222222222213E-2</v>
      </c>
      <c r="E35" s="1">
        <v>90</v>
      </c>
      <c r="F35" s="5" t="s">
        <v>42</v>
      </c>
      <c r="G35" s="1" t="s">
        <v>88</v>
      </c>
      <c r="H35" s="1"/>
      <c r="I35" s="1">
        <f>Tabela149[[#This Row],[Séries ]]*Tabela149[[#This Row],[Repetições]]*Tabela149[[#This Row],[Carga (kg)]]</f>
        <v>0</v>
      </c>
    </row>
    <row r="36" spans="1:13" x14ac:dyDescent="0.25">
      <c r="A36" s="1" t="s">
        <v>91</v>
      </c>
      <c r="B36" s="4">
        <v>2</v>
      </c>
      <c r="C36" s="4">
        <v>6</v>
      </c>
      <c r="D36" s="2">
        <v>8.4722222222222213E-2</v>
      </c>
      <c r="E36" s="1">
        <v>90</v>
      </c>
      <c r="F36" s="5" t="s">
        <v>42</v>
      </c>
      <c r="G36" s="1" t="s">
        <v>88</v>
      </c>
      <c r="H36" s="1"/>
      <c r="I36" s="1">
        <f>Tabela149[[#This Row],[Séries ]]*Tabela149[[#This Row],[Repetições]]*Tabela149[[#This Row],[Carga (kg)]]</f>
        <v>0</v>
      </c>
    </row>
    <row r="37" spans="1:13" x14ac:dyDescent="0.25">
      <c r="A37" s="1" t="s">
        <v>87</v>
      </c>
      <c r="B37" s="4">
        <v>2</v>
      </c>
      <c r="C37" s="4">
        <v>6</v>
      </c>
      <c r="D37" s="2">
        <v>8.4722222222222213E-2</v>
      </c>
      <c r="E37" s="1">
        <v>90</v>
      </c>
      <c r="F37" s="5" t="s">
        <v>42</v>
      </c>
      <c r="G37" s="1" t="s">
        <v>88</v>
      </c>
      <c r="H37" s="1"/>
      <c r="I37" s="1">
        <f>Tabela149[[#This Row],[Séries ]]*Tabela149[[#This Row],[Repetições]]*Tabela149[[#This Row],[Carga (kg)]]</f>
        <v>0</v>
      </c>
    </row>
    <row r="38" spans="1:13" ht="15.75" thickBot="1" x14ac:dyDescent="0.3">
      <c r="A38" s="1" t="s">
        <v>89</v>
      </c>
      <c r="B38" s="1">
        <v>3</v>
      </c>
      <c r="C38" s="1">
        <v>10</v>
      </c>
      <c r="D38" s="2">
        <v>8.4722222222222213E-2</v>
      </c>
      <c r="E38" s="1">
        <v>90</v>
      </c>
      <c r="F38" s="5" t="s">
        <v>44</v>
      </c>
      <c r="G38" s="1"/>
      <c r="H38" s="1"/>
      <c r="I38" s="1">
        <f>Tabela149[[#This Row],[Séries ]]*Tabela149[[#This Row],[Repetições]]*Tabela149[[#This Row],[Carga (kg)]]</f>
        <v>0</v>
      </c>
    </row>
    <row r="39" spans="1:13" x14ac:dyDescent="0.25">
      <c r="A39" s="1" t="s">
        <v>8</v>
      </c>
      <c r="B39" s="1" t="s">
        <v>10</v>
      </c>
      <c r="C39" s="1" t="s">
        <v>9</v>
      </c>
      <c r="E39" s="13" t="s">
        <v>11</v>
      </c>
      <c r="F39" s="15"/>
    </row>
    <row r="40" spans="1:13" ht="15.75" thickBot="1" x14ac:dyDescent="0.3">
      <c r="A40" s="1"/>
      <c r="B40" s="1"/>
      <c r="C40" s="1">
        <f>Tabela268[[#This Row],[Percepção Subjetiva de Esforço]]*Tabela268[[#This Row],[Tempo da sessão em minutos  ]]</f>
        <v>0</v>
      </c>
      <c r="E40" s="10">
        <f>I32+I33+I34+I35+I36+I37+I38</f>
        <v>0</v>
      </c>
      <c r="F40" s="11"/>
    </row>
    <row r="42" spans="1:13" x14ac:dyDescent="0.25">
      <c r="A42" s="16"/>
      <c r="B42" s="16"/>
      <c r="C42" s="16"/>
      <c r="D42" s="16"/>
      <c r="E42" s="16"/>
      <c r="F42" s="16"/>
      <c r="G42" s="16"/>
      <c r="H42" s="16"/>
    </row>
    <row r="44" spans="1:13" x14ac:dyDescent="0.25">
      <c r="A44" s="17" t="s">
        <v>16</v>
      </c>
      <c r="B44" s="17"/>
      <c r="C44" s="17"/>
      <c r="D44" s="17"/>
      <c r="E44" s="17"/>
      <c r="F44" s="17"/>
      <c r="G44" s="17"/>
    </row>
    <row r="45" spans="1:13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  <c r="J45" s="1" t="s">
        <v>49</v>
      </c>
      <c r="K45" s="1" t="s">
        <v>50</v>
      </c>
      <c r="L45" s="1" t="s">
        <v>51</v>
      </c>
      <c r="M45" s="1" t="s">
        <v>52</v>
      </c>
    </row>
    <row r="46" spans="1:13" x14ac:dyDescent="0.25">
      <c r="A46" s="1" t="s">
        <v>83</v>
      </c>
      <c r="B46" s="1">
        <v>3</v>
      </c>
      <c r="C46" s="1">
        <v>10</v>
      </c>
      <c r="D46" s="2">
        <v>8.4722222222222213E-2</v>
      </c>
      <c r="E46" s="1">
        <v>90</v>
      </c>
      <c r="F46" s="5" t="s">
        <v>53</v>
      </c>
      <c r="G46" s="1" t="s">
        <v>90</v>
      </c>
      <c r="H46" s="1"/>
      <c r="I46" s="1">
        <f>Tabela14932[[#This Row],[Séries ]]*Tabela14932[[#This Row],[Repetições]]*Tabela14932[[#This Row],[Carga (kg)]]</f>
        <v>0</v>
      </c>
    </row>
    <row r="47" spans="1:13" x14ac:dyDescent="0.25">
      <c r="A47" s="1" t="s">
        <v>84</v>
      </c>
      <c r="B47" s="1">
        <v>3</v>
      </c>
      <c r="C47" s="1">
        <v>10</v>
      </c>
      <c r="D47" s="2">
        <v>8.4722222222222213E-2</v>
      </c>
      <c r="E47" s="1">
        <v>90</v>
      </c>
      <c r="F47" s="5" t="s">
        <v>53</v>
      </c>
      <c r="G47" s="1" t="s">
        <v>90</v>
      </c>
      <c r="H47" s="1"/>
      <c r="I47" s="1">
        <f>Tabela14932[[#This Row],[Séries ]]*Tabela14932[[#This Row],[Repetições]]*Tabela14932[[#This Row],[Carga (kg)]]</f>
        <v>0</v>
      </c>
    </row>
    <row r="48" spans="1:13" x14ac:dyDescent="0.25">
      <c r="A48" s="1" t="s">
        <v>85</v>
      </c>
      <c r="B48" s="4">
        <v>2</v>
      </c>
      <c r="C48" s="4">
        <v>6</v>
      </c>
      <c r="D48" s="2">
        <v>8.4722222222222213E-2</v>
      </c>
      <c r="E48" s="1">
        <v>90</v>
      </c>
      <c r="F48" s="5" t="s">
        <v>42</v>
      </c>
      <c r="G48" s="1" t="s">
        <v>88</v>
      </c>
      <c r="H48" s="1"/>
      <c r="I48" s="1">
        <f>Tabela14932[[#This Row],[Séries ]]*Tabela14932[[#This Row],[Repetições]]*Tabela14932[[#This Row],[Carga (kg)]]</f>
        <v>0</v>
      </c>
    </row>
    <row r="49" spans="1:13" x14ac:dyDescent="0.25">
      <c r="A49" s="1" t="s">
        <v>86</v>
      </c>
      <c r="B49" s="4">
        <v>2</v>
      </c>
      <c r="C49" s="4">
        <v>6</v>
      </c>
      <c r="D49" s="2">
        <v>8.4722222222222213E-2</v>
      </c>
      <c r="E49" s="1">
        <v>90</v>
      </c>
      <c r="F49" s="5" t="s">
        <v>42</v>
      </c>
      <c r="G49" s="1" t="s">
        <v>88</v>
      </c>
      <c r="H49" s="1"/>
      <c r="I49" s="1">
        <f>Tabela14932[[#This Row],[Séries ]]*Tabela14932[[#This Row],[Repetições]]*Tabela14932[[#This Row],[Carga (kg)]]</f>
        <v>0</v>
      </c>
    </row>
    <row r="50" spans="1:13" x14ac:dyDescent="0.25">
      <c r="A50" s="1" t="s">
        <v>91</v>
      </c>
      <c r="B50" s="4">
        <v>2</v>
      </c>
      <c r="C50" s="4">
        <v>6</v>
      </c>
      <c r="D50" s="2">
        <v>8.4722222222222213E-2</v>
      </c>
      <c r="E50" s="1">
        <v>90</v>
      </c>
      <c r="F50" s="5" t="s">
        <v>42</v>
      </c>
      <c r="G50" s="1" t="s">
        <v>88</v>
      </c>
      <c r="H50" s="1"/>
      <c r="I50" s="1">
        <f>Tabela14932[[#This Row],[Séries ]]*Tabela14932[[#This Row],[Repetições]]*Tabela14932[[#This Row],[Carga (kg)]]</f>
        <v>0</v>
      </c>
    </row>
    <row r="51" spans="1:13" x14ac:dyDescent="0.25">
      <c r="A51" s="1" t="s">
        <v>87</v>
      </c>
      <c r="B51" s="4">
        <v>2</v>
      </c>
      <c r="C51" s="4">
        <v>6</v>
      </c>
      <c r="D51" s="2">
        <v>8.4722222222222213E-2</v>
      </c>
      <c r="E51" s="1">
        <v>90</v>
      </c>
      <c r="F51" s="5" t="s">
        <v>42</v>
      </c>
      <c r="G51" s="1" t="s">
        <v>88</v>
      </c>
      <c r="H51" s="1"/>
      <c r="I51" s="1"/>
      <c r="J51" s="2"/>
      <c r="K51" s="1"/>
      <c r="L51" s="4"/>
      <c r="M51" s="1"/>
    </row>
    <row r="52" spans="1:13" ht="15.75" thickBot="1" x14ac:dyDescent="0.3">
      <c r="A52" s="1" t="s">
        <v>89</v>
      </c>
      <c r="B52" s="1">
        <v>3</v>
      </c>
      <c r="C52" s="1">
        <v>10</v>
      </c>
      <c r="D52" s="2">
        <v>8.4722222222222213E-2</v>
      </c>
      <c r="E52" s="1">
        <v>90</v>
      </c>
      <c r="F52" s="5" t="s">
        <v>44</v>
      </c>
      <c r="G52" s="1"/>
      <c r="H52" s="1"/>
      <c r="I52" s="1"/>
      <c r="J52" s="2"/>
      <c r="K52" s="1"/>
      <c r="L52" s="4"/>
      <c r="M52" s="1"/>
    </row>
    <row r="53" spans="1:13" x14ac:dyDescent="0.25">
      <c r="A53" s="1" t="s">
        <v>8</v>
      </c>
      <c r="B53" s="1" t="s">
        <v>10</v>
      </c>
      <c r="C53" s="1" t="s">
        <v>9</v>
      </c>
      <c r="E53" s="13" t="s">
        <v>11</v>
      </c>
      <c r="F53" s="15"/>
    </row>
    <row r="54" spans="1:13" ht="15.75" thickBot="1" x14ac:dyDescent="0.3">
      <c r="A54" s="1"/>
      <c r="B54" s="1"/>
      <c r="C54" s="1">
        <f>Tabela26810[[#This Row],[Percepção Subjetiva de Esforço]]*Tabela26810[[#This Row],[Tempo da sessão em minutos  ]]</f>
        <v>0</v>
      </c>
      <c r="E54" s="10">
        <f>I46+I47+I48+I49+I50+I51</f>
        <v>0</v>
      </c>
      <c r="F54" s="11"/>
    </row>
  </sheetData>
  <mergeCells count="16">
    <mergeCell ref="A16:G16"/>
    <mergeCell ref="A1:G1"/>
    <mergeCell ref="A13:C13"/>
    <mergeCell ref="E11:F11"/>
    <mergeCell ref="E12:F12"/>
    <mergeCell ref="A14:H14"/>
    <mergeCell ref="A42:H42"/>
    <mergeCell ref="A44:G44"/>
    <mergeCell ref="E53:F53"/>
    <mergeCell ref="E54:F54"/>
    <mergeCell ref="E25:F25"/>
    <mergeCell ref="E26:F26"/>
    <mergeCell ref="A28:H28"/>
    <mergeCell ref="A30:G30"/>
    <mergeCell ref="E39:F39"/>
    <mergeCell ref="E40:F40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13502-A433-44E2-B89A-2C34E41FCC91}">
  <dimension ref="A1:I55"/>
  <sheetViews>
    <sheetView topLeftCell="A33" workbookViewId="0">
      <selection activeCell="A45" sqref="A45:G51"/>
    </sheetView>
  </sheetViews>
  <sheetFormatPr defaultRowHeight="15" x14ac:dyDescent="0.25"/>
  <cols>
    <col min="1" max="1" width="43.5703125" bestFit="1" customWidth="1"/>
    <col min="2" max="2" width="33" bestFit="1" customWidth="1"/>
    <col min="3" max="3" width="24.42578125" bestFit="1" customWidth="1"/>
    <col min="4" max="5" width="14" bestFit="1" customWidth="1"/>
    <col min="6" max="6" width="18.7109375" bestFit="1" customWidth="1"/>
    <col min="7" max="7" width="33.42578125" bestFit="1" customWidth="1"/>
    <col min="8" max="8" width="14.28515625" bestFit="1" customWidth="1"/>
    <col min="9" max="9" width="9.7109375" bestFit="1" customWidth="1"/>
  </cols>
  <sheetData>
    <row r="1" spans="1:9" x14ac:dyDescent="0.25">
      <c r="A1" s="19" t="s">
        <v>19</v>
      </c>
      <c r="B1" s="19"/>
      <c r="C1" s="19"/>
      <c r="D1" s="19"/>
      <c r="E1" s="19"/>
      <c r="F1" s="19"/>
      <c r="G1" s="19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5">
      <c r="A3" s="1" t="s">
        <v>92</v>
      </c>
      <c r="B3" s="1">
        <v>3</v>
      </c>
      <c r="C3" s="1">
        <v>10</v>
      </c>
      <c r="D3" s="2">
        <v>8.4722222222222213E-2</v>
      </c>
      <c r="E3" s="1">
        <v>60</v>
      </c>
      <c r="F3" s="6" t="s">
        <v>53</v>
      </c>
      <c r="G3" s="1" t="s">
        <v>90</v>
      </c>
      <c r="H3" s="1"/>
      <c r="I3" s="1">
        <f>Tabela111[[#This Row],[Séries ]]*Tabela111[[#This Row],[Repetições]]*Tabela111[[#This Row],[Carga (kg)]]</f>
        <v>0</v>
      </c>
    </row>
    <row r="4" spans="1:9" x14ac:dyDescent="0.25">
      <c r="A4" s="1" t="s">
        <v>93</v>
      </c>
      <c r="B4" s="1">
        <v>3</v>
      </c>
      <c r="C4" s="1">
        <v>10</v>
      </c>
      <c r="D4" s="2">
        <v>8.4722222222222213E-2</v>
      </c>
      <c r="E4" s="1">
        <v>90</v>
      </c>
      <c r="F4" s="6" t="s">
        <v>53</v>
      </c>
      <c r="G4" s="1" t="s">
        <v>90</v>
      </c>
      <c r="H4" s="1"/>
      <c r="I4" s="1">
        <f>Tabela111[[#This Row],[Séries ]]*Tabela111[[#This Row],[Repetições]]*Tabela111[[#This Row],[Carga (kg)]]</f>
        <v>0</v>
      </c>
    </row>
    <row r="5" spans="1:9" x14ac:dyDescent="0.25">
      <c r="A5" s="1" t="s">
        <v>71</v>
      </c>
      <c r="B5" s="42">
        <v>2</v>
      </c>
      <c r="C5" s="42">
        <v>6</v>
      </c>
      <c r="D5" s="2">
        <v>8.4722222222222213E-2</v>
      </c>
      <c r="E5" s="1">
        <v>90</v>
      </c>
      <c r="F5" s="6" t="s">
        <v>42</v>
      </c>
      <c r="G5" s="1" t="s">
        <v>88</v>
      </c>
      <c r="H5" s="1"/>
      <c r="I5" s="1">
        <f>Tabela111[[#This Row],[Séries ]]*Tabela111[[#This Row],[Repetições]]*Tabela111[[#This Row],[Carga (kg)]]</f>
        <v>0</v>
      </c>
    </row>
    <row r="6" spans="1:9" x14ac:dyDescent="0.25">
      <c r="A6" s="1" t="s">
        <v>94</v>
      </c>
      <c r="B6" s="42">
        <v>2</v>
      </c>
      <c r="C6" s="42">
        <v>6</v>
      </c>
      <c r="D6" s="2">
        <v>8.4722222222222213E-2</v>
      </c>
      <c r="E6" s="1">
        <v>90</v>
      </c>
      <c r="F6" s="6" t="s">
        <v>42</v>
      </c>
      <c r="G6" s="1" t="s">
        <v>88</v>
      </c>
      <c r="I6" s="1">
        <f>Tabela111[[#This Row],[Séries ]]*Tabela111[[#This Row],[Repetições]]*Tabela111[[#This Row],[Carga (kg)]]</f>
        <v>0</v>
      </c>
    </row>
    <row r="7" spans="1:9" x14ac:dyDescent="0.25">
      <c r="A7" s="1" t="s">
        <v>95</v>
      </c>
      <c r="B7" s="42">
        <v>2</v>
      </c>
      <c r="C7" s="42">
        <v>6</v>
      </c>
      <c r="D7" s="2">
        <v>8.4722222222222213E-2</v>
      </c>
      <c r="E7" s="1">
        <v>90</v>
      </c>
      <c r="F7" s="6" t="s">
        <v>42</v>
      </c>
      <c r="G7" s="1" t="s">
        <v>88</v>
      </c>
      <c r="I7" s="1">
        <f>Tabela111[[#This Row],[Séries ]]*Tabela111[[#This Row],[Repetições]]*Tabela111[[#This Row],[Carga (kg)]]</f>
        <v>0</v>
      </c>
    </row>
    <row r="8" spans="1:9" x14ac:dyDescent="0.25">
      <c r="A8" s="1" t="s">
        <v>96</v>
      </c>
      <c r="B8" s="1">
        <v>3</v>
      </c>
      <c r="C8" s="1">
        <v>10</v>
      </c>
      <c r="D8" s="2">
        <v>8.4722222222222213E-2</v>
      </c>
      <c r="E8" s="1">
        <v>90</v>
      </c>
      <c r="F8" s="6" t="s">
        <v>53</v>
      </c>
      <c r="G8" s="1"/>
      <c r="I8" s="1">
        <f>Tabela111[[#This Row],[Séries ]]*Tabela111[[#This Row],[Repetições]]*Tabela111[[#This Row],[Carga (kg)]]</f>
        <v>0</v>
      </c>
    </row>
    <row r="9" spans="1:9" ht="15.75" thickBot="1" x14ac:dyDescent="0.3">
      <c r="A9" s="1" t="s">
        <v>97</v>
      </c>
      <c r="B9" s="1">
        <v>3</v>
      </c>
      <c r="C9" s="1">
        <v>10</v>
      </c>
      <c r="D9" s="2">
        <v>8.4722222222222213E-2</v>
      </c>
      <c r="E9" s="1">
        <v>90</v>
      </c>
      <c r="F9" s="6" t="s">
        <v>53</v>
      </c>
      <c r="G9" s="1"/>
      <c r="I9" s="1">
        <f>Tabela111[[#This Row],[Séries ]]*Tabela111[[#This Row],[Repetições]]*Tabela111[[#This Row],[Carga (kg)]]</f>
        <v>0</v>
      </c>
    </row>
    <row r="10" spans="1:9" x14ac:dyDescent="0.25">
      <c r="A10" s="1" t="s">
        <v>8</v>
      </c>
      <c r="B10" s="1" t="s">
        <v>10</v>
      </c>
      <c r="C10" s="1" t="s">
        <v>9</v>
      </c>
      <c r="E10" s="13" t="s">
        <v>11</v>
      </c>
      <c r="F10" s="14"/>
    </row>
    <row r="11" spans="1:9" ht="15.75" thickBot="1" x14ac:dyDescent="0.3">
      <c r="A11" s="1"/>
      <c r="B11" s="1"/>
      <c r="C11" s="1">
        <f>Tabela214[[#This Row],[Percepção Subjetiva de Esforço]]*Tabela214[[#This Row],[Tempo da sessão em minutos  ]]</f>
        <v>0</v>
      </c>
      <c r="E11" s="10">
        <f>I3+I4+I5+I6+I7+I8</f>
        <v>0</v>
      </c>
      <c r="F11" s="11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5" spans="1:9" x14ac:dyDescent="0.25">
      <c r="A15" s="19" t="s">
        <v>20</v>
      </c>
      <c r="B15" s="19"/>
      <c r="C15" s="19"/>
      <c r="D15" s="19"/>
      <c r="E15" s="19"/>
      <c r="F15" s="19"/>
      <c r="G15" s="19"/>
    </row>
    <row r="16" spans="1: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13</v>
      </c>
    </row>
    <row r="17" spans="1:9" x14ac:dyDescent="0.25">
      <c r="A17" s="1" t="s">
        <v>92</v>
      </c>
      <c r="B17" s="1">
        <v>3</v>
      </c>
      <c r="C17" s="1">
        <v>10</v>
      </c>
      <c r="D17" s="2">
        <v>8.4722222222222213E-2</v>
      </c>
      <c r="E17" s="1">
        <v>60</v>
      </c>
      <c r="F17" s="6" t="s">
        <v>53</v>
      </c>
      <c r="G17" s="1" t="s">
        <v>90</v>
      </c>
      <c r="H17" s="1"/>
      <c r="I17" s="1">
        <f>Tabela11133[[#This Row],[Séries ]]*Tabela11133[[#This Row],[Repetições]]*Tabela11133[[#This Row],[Carga (kg)]]</f>
        <v>0</v>
      </c>
    </row>
    <row r="18" spans="1:9" x14ac:dyDescent="0.25">
      <c r="A18" s="1" t="s">
        <v>93</v>
      </c>
      <c r="B18" s="1">
        <v>3</v>
      </c>
      <c r="C18" s="1">
        <v>10</v>
      </c>
      <c r="D18" s="2">
        <v>8.4722222222222213E-2</v>
      </c>
      <c r="E18" s="1">
        <v>90</v>
      </c>
      <c r="F18" s="6" t="s">
        <v>53</v>
      </c>
      <c r="G18" s="1" t="s">
        <v>90</v>
      </c>
      <c r="H18" s="1"/>
      <c r="I18" s="1">
        <f>Tabela11133[[#This Row],[Séries ]]*Tabela11133[[#This Row],[Repetições]]*Tabela11133[[#This Row],[Carga (kg)]]</f>
        <v>0</v>
      </c>
    </row>
    <row r="19" spans="1:9" x14ac:dyDescent="0.25">
      <c r="A19" s="1" t="s">
        <v>71</v>
      </c>
      <c r="B19" s="42">
        <v>2</v>
      </c>
      <c r="C19" s="42">
        <v>6</v>
      </c>
      <c r="D19" s="2">
        <v>8.4722222222222213E-2</v>
      </c>
      <c r="E19" s="1">
        <v>90</v>
      </c>
      <c r="F19" s="6" t="s">
        <v>42</v>
      </c>
      <c r="G19" s="1" t="s">
        <v>88</v>
      </c>
      <c r="H19" s="1"/>
      <c r="I19" s="1">
        <f>Tabela11133[[#This Row],[Séries ]]*Tabela11133[[#This Row],[Repetições]]*Tabela11133[[#This Row],[Carga (kg)]]</f>
        <v>0</v>
      </c>
    </row>
    <row r="20" spans="1:9" x14ac:dyDescent="0.25">
      <c r="A20" s="1" t="s">
        <v>94</v>
      </c>
      <c r="B20" s="42">
        <v>2</v>
      </c>
      <c r="C20" s="42">
        <v>6</v>
      </c>
      <c r="D20" s="2">
        <v>8.4722222222222213E-2</v>
      </c>
      <c r="E20" s="1">
        <v>90</v>
      </c>
      <c r="F20" s="6" t="s">
        <v>42</v>
      </c>
      <c r="G20" s="1" t="s">
        <v>88</v>
      </c>
      <c r="I20" s="1">
        <f>Tabela11133[[#This Row],[Séries ]]*Tabela11133[[#This Row],[Repetições]]*Tabela11133[[#This Row],[Carga (kg)]]</f>
        <v>0</v>
      </c>
    </row>
    <row r="21" spans="1:9" x14ac:dyDescent="0.25">
      <c r="A21" s="1" t="s">
        <v>95</v>
      </c>
      <c r="B21" s="42">
        <v>2</v>
      </c>
      <c r="C21" s="42">
        <v>6</v>
      </c>
      <c r="D21" s="2">
        <v>8.4722222222222213E-2</v>
      </c>
      <c r="E21" s="1">
        <v>90</v>
      </c>
      <c r="F21" s="6" t="s">
        <v>42</v>
      </c>
      <c r="G21" s="1" t="s">
        <v>88</v>
      </c>
      <c r="I21" s="1">
        <f>Tabela11133[[#This Row],[Séries ]]*Tabela11133[[#This Row],[Repetições]]*Tabela11133[[#This Row],[Carga (kg)]]</f>
        <v>0</v>
      </c>
    </row>
    <row r="22" spans="1:9" x14ac:dyDescent="0.25">
      <c r="A22" s="1" t="s">
        <v>96</v>
      </c>
      <c r="B22" s="1">
        <v>3</v>
      </c>
      <c r="C22" s="1">
        <v>10</v>
      </c>
      <c r="D22" s="2">
        <v>8.4722222222222213E-2</v>
      </c>
      <c r="E22" s="1">
        <v>90</v>
      </c>
      <c r="F22" s="6" t="s">
        <v>53</v>
      </c>
      <c r="G22" s="1"/>
      <c r="I22" s="1">
        <f>Tabela11133[[#This Row],[Séries ]]*Tabela11133[[#This Row],[Repetições]]*Tabela11133[[#This Row],[Carga (kg)]]</f>
        <v>0</v>
      </c>
    </row>
    <row r="23" spans="1:9" ht="15.75" thickBot="1" x14ac:dyDescent="0.3">
      <c r="A23" s="1" t="s">
        <v>97</v>
      </c>
      <c r="B23" s="1">
        <v>3</v>
      </c>
      <c r="C23" s="1">
        <v>10</v>
      </c>
      <c r="D23" s="2">
        <v>8.4722222222222213E-2</v>
      </c>
      <c r="E23" s="1">
        <v>90</v>
      </c>
      <c r="F23" s="6" t="s">
        <v>53</v>
      </c>
      <c r="G23" s="1"/>
      <c r="I23" s="1">
        <f>Tabela11133[[#This Row],[Séries ]]*Tabela11133[[#This Row],[Repetições]]*Tabela11133[[#This Row],[Carga (kg)]]</f>
        <v>0</v>
      </c>
    </row>
    <row r="24" spans="1:9" x14ac:dyDescent="0.25">
      <c r="A24" s="1" t="s">
        <v>8</v>
      </c>
      <c r="B24" s="1" t="s">
        <v>10</v>
      </c>
      <c r="C24" s="1" t="s">
        <v>9</v>
      </c>
      <c r="E24" s="13" t="s">
        <v>11</v>
      </c>
      <c r="F24" s="15"/>
    </row>
    <row r="25" spans="1:9" ht="15.75" thickBot="1" x14ac:dyDescent="0.3">
      <c r="A25" s="1"/>
      <c r="B25" s="1"/>
      <c r="C25" s="1">
        <f>Tabela21416[[#This Row],[Percepção Subjetiva de Esforço]]*Tabela21416[[#This Row],[Tempo da sessão em minutos  ]]</f>
        <v>0</v>
      </c>
      <c r="E25" s="10">
        <f>I17+I18+I19+I20+I21+I22</f>
        <v>0</v>
      </c>
      <c r="F25" s="11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9" spans="1:9" x14ac:dyDescent="0.25">
      <c r="A29" s="19" t="s">
        <v>21</v>
      </c>
      <c r="B29" s="19"/>
      <c r="C29" s="19"/>
      <c r="D29" s="19"/>
      <c r="E29" s="19"/>
      <c r="F29" s="19"/>
      <c r="G29" s="19"/>
    </row>
    <row r="30" spans="1:9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13</v>
      </c>
    </row>
    <row r="31" spans="1:9" x14ac:dyDescent="0.25">
      <c r="A31" s="1" t="s">
        <v>92</v>
      </c>
      <c r="B31" s="1">
        <v>3</v>
      </c>
      <c r="C31" s="1">
        <v>10</v>
      </c>
      <c r="D31" s="2">
        <v>8.4722222222222213E-2</v>
      </c>
      <c r="E31" s="1">
        <v>60</v>
      </c>
      <c r="F31" s="6" t="s">
        <v>53</v>
      </c>
      <c r="G31" s="1" t="s">
        <v>90</v>
      </c>
      <c r="H31" s="1"/>
      <c r="I31" s="1">
        <f>Tabela1113334[[#This Row],[Séries ]]*Tabela1113334[[#This Row],[Repetições]]*Tabela1113334[[#This Row],[Carga (kg)]]</f>
        <v>0</v>
      </c>
    </row>
    <row r="32" spans="1:9" x14ac:dyDescent="0.25">
      <c r="A32" s="1" t="s">
        <v>93</v>
      </c>
      <c r="B32" s="1">
        <v>3</v>
      </c>
      <c r="C32" s="1">
        <v>10</v>
      </c>
      <c r="D32" s="2">
        <v>8.4722222222222213E-2</v>
      </c>
      <c r="E32" s="1">
        <v>90</v>
      </c>
      <c r="F32" s="6" t="s">
        <v>53</v>
      </c>
      <c r="G32" s="1" t="s">
        <v>90</v>
      </c>
      <c r="H32" s="1"/>
      <c r="I32" s="1">
        <f>Tabela1113334[[#This Row],[Séries ]]*Tabela1113334[[#This Row],[Repetições]]*Tabela1113334[[#This Row],[Carga (kg)]]</f>
        <v>0</v>
      </c>
    </row>
    <row r="33" spans="1:9" x14ac:dyDescent="0.25">
      <c r="A33" s="1" t="s">
        <v>71</v>
      </c>
      <c r="B33" s="42">
        <v>2</v>
      </c>
      <c r="C33" s="42">
        <v>6</v>
      </c>
      <c r="D33" s="2">
        <v>8.4722222222222213E-2</v>
      </c>
      <c r="E33" s="1">
        <v>90</v>
      </c>
      <c r="F33" s="6" t="s">
        <v>42</v>
      </c>
      <c r="G33" s="1" t="s">
        <v>88</v>
      </c>
      <c r="H33" s="1"/>
      <c r="I33" s="1">
        <f>Tabela1113334[[#This Row],[Séries ]]*Tabela1113334[[#This Row],[Repetições]]*Tabela1113334[[#This Row],[Carga (kg)]]</f>
        <v>0</v>
      </c>
    </row>
    <row r="34" spans="1:9" x14ac:dyDescent="0.25">
      <c r="A34" s="1" t="s">
        <v>94</v>
      </c>
      <c r="B34" s="42">
        <v>2</v>
      </c>
      <c r="C34" s="42">
        <v>6</v>
      </c>
      <c r="D34" s="2">
        <v>8.4722222222222213E-2</v>
      </c>
      <c r="E34" s="1">
        <v>90</v>
      </c>
      <c r="F34" s="6" t="s">
        <v>42</v>
      </c>
      <c r="G34" s="1" t="s">
        <v>88</v>
      </c>
      <c r="I34" s="1">
        <f>Tabela1113334[[#This Row],[Séries ]]*Tabela1113334[[#This Row],[Repetições]]*Tabela1113334[[#This Row],[Carga (kg)]]</f>
        <v>0</v>
      </c>
    </row>
    <row r="35" spans="1:9" x14ac:dyDescent="0.25">
      <c r="A35" s="1" t="s">
        <v>95</v>
      </c>
      <c r="B35" s="42">
        <v>2</v>
      </c>
      <c r="C35" s="42">
        <v>6</v>
      </c>
      <c r="D35" s="2">
        <v>8.4722222222222213E-2</v>
      </c>
      <c r="E35" s="1">
        <v>90</v>
      </c>
      <c r="F35" s="6" t="s">
        <v>42</v>
      </c>
      <c r="G35" s="1" t="s">
        <v>88</v>
      </c>
      <c r="I35" s="1">
        <f>Tabela1113334[[#This Row],[Séries ]]*Tabela1113334[[#This Row],[Repetições]]*Tabela1113334[[#This Row],[Carga (kg)]]</f>
        <v>0</v>
      </c>
    </row>
    <row r="36" spans="1:9" x14ac:dyDescent="0.25">
      <c r="A36" s="1" t="s">
        <v>96</v>
      </c>
      <c r="B36" s="1">
        <v>3</v>
      </c>
      <c r="C36" s="1">
        <v>10</v>
      </c>
      <c r="D36" s="2">
        <v>8.4722222222222213E-2</v>
      </c>
      <c r="E36" s="1">
        <v>90</v>
      </c>
      <c r="F36" s="6" t="s">
        <v>53</v>
      </c>
      <c r="G36" s="1"/>
      <c r="I36" s="1">
        <f>Tabela1113334[[#This Row],[Séries ]]*Tabela1113334[[#This Row],[Repetições]]*Tabela1113334[[#This Row],[Carga (kg)]]</f>
        <v>0</v>
      </c>
    </row>
    <row r="37" spans="1:9" ht="15.75" thickBot="1" x14ac:dyDescent="0.3">
      <c r="A37" s="1" t="s">
        <v>97</v>
      </c>
      <c r="B37" s="1">
        <v>3</v>
      </c>
      <c r="C37" s="1">
        <v>10</v>
      </c>
      <c r="D37" s="2">
        <v>8.4722222222222213E-2</v>
      </c>
      <c r="E37" s="1">
        <v>90</v>
      </c>
      <c r="F37" s="6" t="s">
        <v>53</v>
      </c>
      <c r="G37" s="1"/>
      <c r="I37" s="1">
        <f>Tabela1113334[[#This Row],[Séries ]]*Tabela1113334[[#This Row],[Repetições]]*Tabela1113334[[#This Row],[Carga (kg)]]</f>
        <v>0</v>
      </c>
    </row>
    <row r="38" spans="1:9" x14ac:dyDescent="0.25">
      <c r="A38" s="1" t="s">
        <v>8</v>
      </c>
      <c r="B38" s="1" t="s">
        <v>10</v>
      </c>
      <c r="C38" s="1" t="s">
        <v>9</v>
      </c>
      <c r="E38" s="13" t="s">
        <v>11</v>
      </c>
      <c r="F38" s="15"/>
    </row>
    <row r="39" spans="1:9" ht="15.75" thickBot="1" x14ac:dyDescent="0.3">
      <c r="A39" s="1"/>
      <c r="B39" s="1"/>
      <c r="C39" s="1">
        <f>Tabela2141618[[#This Row],[Percepção Subjetiva de Esforço]]*Tabela2141618[[#This Row],[Tempo da sessão em minutos  ]]</f>
        <v>0</v>
      </c>
      <c r="E39" s="10">
        <f>H31+H32+H33+H34+H35+H36</f>
        <v>0</v>
      </c>
      <c r="F39" s="11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3" spans="1:9" x14ac:dyDescent="0.25">
      <c r="A43" s="19" t="s">
        <v>22</v>
      </c>
      <c r="B43" s="19"/>
      <c r="C43" s="19"/>
      <c r="D43" s="19"/>
      <c r="E43" s="19"/>
      <c r="F43" s="19"/>
      <c r="G43" s="19"/>
    </row>
    <row r="44" spans="1:9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13</v>
      </c>
    </row>
    <row r="45" spans="1:9" x14ac:dyDescent="0.25">
      <c r="A45" s="1" t="s">
        <v>92</v>
      </c>
      <c r="B45" s="1">
        <v>3</v>
      </c>
      <c r="C45" s="1">
        <v>10</v>
      </c>
      <c r="D45" s="2">
        <v>8.4722222222222213E-2</v>
      </c>
      <c r="E45" s="1">
        <v>60</v>
      </c>
      <c r="F45" s="6" t="s">
        <v>53</v>
      </c>
      <c r="G45" s="1" t="s">
        <v>90</v>
      </c>
      <c r="H45" s="1"/>
      <c r="I45" s="1">
        <f>Tabela111333435[[#This Row],[Séries ]]*Tabela111333435[[#This Row],[Repetições]]*Tabela111333435[[#This Row],[Carga (kg)]]</f>
        <v>0</v>
      </c>
    </row>
    <row r="46" spans="1:9" x14ac:dyDescent="0.25">
      <c r="A46" s="1" t="s">
        <v>93</v>
      </c>
      <c r="B46" s="1">
        <v>3</v>
      </c>
      <c r="C46" s="1">
        <v>10</v>
      </c>
      <c r="D46" s="2">
        <v>8.4722222222222213E-2</v>
      </c>
      <c r="E46" s="1">
        <v>90</v>
      </c>
      <c r="F46" s="6" t="s">
        <v>53</v>
      </c>
      <c r="G46" s="1" t="s">
        <v>90</v>
      </c>
      <c r="H46" s="1"/>
      <c r="I46" s="1">
        <f>Tabela111333435[[#This Row],[Séries ]]*Tabela111333435[[#This Row],[Repetições]]*Tabela111333435[[#This Row],[Carga (kg)]]</f>
        <v>0</v>
      </c>
    </row>
    <row r="47" spans="1:9" x14ac:dyDescent="0.25">
      <c r="A47" s="1" t="s">
        <v>71</v>
      </c>
      <c r="B47" s="42">
        <v>2</v>
      </c>
      <c r="C47" s="42">
        <v>6</v>
      </c>
      <c r="D47" s="2">
        <v>8.4722222222222213E-2</v>
      </c>
      <c r="E47" s="1">
        <v>90</v>
      </c>
      <c r="F47" s="6" t="s">
        <v>42</v>
      </c>
      <c r="G47" s="1" t="s">
        <v>88</v>
      </c>
      <c r="H47" s="1"/>
      <c r="I47" s="1">
        <f>Tabela111333435[[#This Row],[Séries ]]*Tabela111333435[[#This Row],[Repetições]]*Tabela111333435[[#This Row],[Carga (kg)]]</f>
        <v>0</v>
      </c>
    </row>
    <row r="48" spans="1:9" x14ac:dyDescent="0.25">
      <c r="A48" s="1" t="s">
        <v>94</v>
      </c>
      <c r="B48" s="42">
        <v>2</v>
      </c>
      <c r="C48" s="42">
        <v>6</v>
      </c>
      <c r="D48" s="2">
        <v>8.4722222222222213E-2</v>
      </c>
      <c r="E48" s="1">
        <v>90</v>
      </c>
      <c r="F48" s="6" t="s">
        <v>42</v>
      </c>
      <c r="G48" s="1" t="s">
        <v>88</v>
      </c>
      <c r="I48" s="1">
        <f>Tabela111333435[[#This Row],[Séries ]]*Tabela111333435[[#This Row],[Repetições]]*Tabela111333435[[#This Row],[Carga (kg)]]</f>
        <v>0</v>
      </c>
    </row>
    <row r="49" spans="1:9" x14ac:dyDescent="0.25">
      <c r="A49" s="1" t="s">
        <v>95</v>
      </c>
      <c r="B49" s="42">
        <v>2</v>
      </c>
      <c r="C49" s="42">
        <v>6</v>
      </c>
      <c r="D49" s="2">
        <v>8.4722222222222213E-2</v>
      </c>
      <c r="E49" s="1">
        <v>90</v>
      </c>
      <c r="F49" s="6" t="s">
        <v>42</v>
      </c>
      <c r="G49" s="1" t="s">
        <v>88</v>
      </c>
      <c r="I49" s="1">
        <f>Tabela111333435[[#This Row],[Séries ]]*Tabela111333435[[#This Row],[Repetições]]*Tabela111333435[[#This Row],[Carga (kg)]]</f>
        <v>0</v>
      </c>
    </row>
    <row r="50" spans="1:9" x14ac:dyDescent="0.25">
      <c r="A50" s="1" t="s">
        <v>96</v>
      </c>
      <c r="B50" s="1">
        <v>3</v>
      </c>
      <c r="C50" s="1">
        <v>10</v>
      </c>
      <c r="D50" s="2">
        <v>8.4722222222222213E-2</v>
      </c>
      <c r="E50" s="1">
        <v>90</v>
      </c>
      <c r="F50" s="6" t="s">
        <v>53</v>
      </c>
      <c r="G50" s="1"/>
      <c r="I50" s="1">
        <f>Tabela111333435[[#This Row],[Séries ]]*Tabela111333435[[#This Row],[Repetições]]*Tabela111333435[[#This Row],[Carga (kg)]]</f>
        <v>0</v>
      </c>
    </row>
    <row r="51" spans="1:9" ht="15.75" thickBot="1" x14ac:dyDescent="0.3">
      <c r="A51" s="1" t="s">
        <v>97</v>
      </c>
      <c r="B51" s="1">
        <v>3</v>
      </c>
      <c r="C51" s="1">
        <v>10</v>
      </c>
      <c r="D51" s="2">
        <v>8.4722222222222213E-2</v>
      </c>
      <c r="E51" s="1">
        <v>90</v>
      </c>
      <c r="F51" s="6" t="s">
        <v>53</v>
      </c>
      <c r="G51" s="1"/>
      <c r="I51" s="1">
        <f>Tabela111333435[[#This Row],[Séries ]]*Tabela111333435[[#This Row],[Repetições]]*Tabela111333435[[#This Row],[Carga (kg)]]</f>
        <v>0</v>
      </c>
    </row>
    <row r="52" spans="1:9" x14ac:dyDescent="0.25">
      <c r="A52" s="1" t="s">
        <v>8</v>
      </c>
      <c r="B52" s="1" t="s">
        <v>10</v>
      </c>
      <c r="C52" s="1" t="s">
        <v>9</v>
      </c>
      <c r="E52" s="13" t="s">
        <v>11</v>
      </c>
      <c r="F52" s="15"/>
    </row>
    <row r="53" spans="1:9" ht="15.75" thickBot="1" x14ac:dyDescent="0.3">
      <c r="A53" s="1"/>
      <c r="B53" s="1"/>
      <c r="C53" s="1">
        <f>Tabela214161820[[#This Row],[Percepção Subjetiva de Esforço]]*Tabela214161820[[#This Row],[Tempo da sessão em minutos  ]]</f>
        <v>0</v>
      </c>
      <c r="E53" s="10">
        <f>I45+I46+I47+I48+I49+I50</f>
        <v>0</v>
      </c>
      <c r="F53" s="11"/>
    </row>
    <row r="55" spans="1:9" x14ac:dyDescent="0.25">
      <c r="A55" s="3"/>
      <c r="B55" s="3"/>
      <c r="C55" s="3"/>
      <c r="D55" s="3"/>
      <c r="E55" s="3"/>
      <c r="F55" s="3"/>
      <c r="G55" s="3"/>
      <c r="H55" s="3"/>
      <c r="I55" s="3"/>
    </row>
  </sheetData>
  <mergeCells count="12">
    <mergeCell ref="E53:F53"/>
    <mergeCell ref="A1:G1"/>
    <mergeCell ref="E10:F10"/>
    <mergeCell ref="E11:F11"/>
    <mergeCell ref="A15:G15"/>
    <mergeCell ref="E24:F24"/>
    <mergeCell ref="E25:F25"/>
    <mergeCell ref="A29:G29"/>
    <mergeCell ref="E38:F38"/>
    <mergeCell ref="E39:F39"/>
    <mergeCell ref="A43:G43"/>
    <mergeCell ref="E52:F52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5CEA1-3E1D-430B-A2EE-69ABDE580DA8}">
  <dimension ref="A1:I54"/>
  <sheetViews>
    <sheetView topLeftCell="A33" workbookViewId="0">
      <selection activeCell="A46" sqref="A46:G52"/>
    </sheetView>
  </sheetViews>
  <sheetFormatPr defaultRowHeight="15" x14ac:dyDescent="0.25"/>
  <cols>
    <col min="1" max="1" width="39.85546875" customWidth="1"/>
    <col min="2" max="2" width="33" bestFit="1" customWidth="1"/>
    <col min="3" max="3" width="24.42578125" bestFit="1" customWidth="1"/>
    <col min="4" max="5" width="14" bestFit="1" customWidth="1"/>
    <col min="6" max="6" width="22.140625" bestFit="1" customWidth="1"/>
    <col min="7" max="7" width="32.28515625" bestFit="1" customWidth="1"/>
    <col min="8" max="8" width="14.28515625" bestFit="1" customWidth="1"/>
    <col min="9" max="9" width="9.7109375" bestFit="1" customWidth="1"/>
  </cols>
  <sheetData>
    <row r="1" spans="1:9" x14ac:dyDescent="0.25">
      <c r="A1" s="20" t="s">
        <v>23</v>
      </c>
      <c r="B1" s="20"/>
      <c r="C1" s="20"/>
      <c r="D1" s="20"/>
      <c r="E1" s="20"/>
      <c r="F1" s="20"/>
      <c r="G1" s="20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5">
      <c r="A3" s="1" t="s">
        <v>98</v>
      </c>
      <c r="B3" s="1">
        <v>3</v>
      </c>
      <c r="C3" s="1">
        <v>12</v>
      </c>
      <c r="D3" s="2">
        <v>8.4722222222222213E-2</v>
      </c>
      <c r="E3" s="1">
        <v>90</v>
      </c>
      <c r="F3" s="7" t="s">
        <v>44</v>
      </c>
      <c r="G3" s="1"/>
      <c r="H3" s="1"/>
      <c r="I3" s="1">
        <f>Tabela11121404841[[#This Row],[Séries ]]*Tabela11121404841[[#This Row],[Repetições]]*Tabela11121404841[[#This Row],[Carga (kg)]]</f>
        <v>0</v>
      </c>
    </row>
    <row r="4" spans="1:9" x14ac:dyDescent="0.25">
      <c r="A4" s="1" t="s">
        <v>72</v>
      </c>
      <c r="B4" s="43">
        <v>2</v>
      </c>
      <c r="C4" s="43">
        <v>10</v>
      </c>
      <c r="D4" s="2">
        <v>8.4722222222222213E-2</v>
      </c>
      <c r="E4" s="1">
        <v>90</v>
      </c>
      <c r="F4" s="7" t="s">
        <v>42</v>
      </c>
      <c r="G4" s="1" t="s">
        <v>105</v>
      </c>
      <c r="H4" s="1"/>
      <c r="I4" s="1">
        <f>Tabela11121404841[[#This Row],[Séries ]]*Tabela11121404841[[#This Row],[Repetições]]*Tabela11121404841[[#This Row],[Carga (kg)]]</f>
        <v>0</v>
      </c>
    </row>
    <row r="5" spans="1:9" x14ac:dyDescent="0.25">
      <c r="A5" s="1" t="s">
        <v>99</v>
      </c>
      <c r="B5" s="43">
        <v>2</v>
      </c>
      <c r="C5" s="43">
        <v>10</v>
      </c>
      <c r="D5" s="2">
        <v>8.4722222222222213E-2</v>
      </c>
      <c r="E5" s="1">
        <v>90</v>
      </c>
      <c r="F5" s="7" t="s">
        <v>42</v>
      </c>
      <c r="G5" s="1" t="s">
        <v>105</v>
      </c>
      <c r="H5" s="1"/>
      <c r="I5" s="1">
        <f>Tabela11121404841[[#This Row],[Séries ]]*Tabela11121404841[[#This Row],[Repetições]]*Tabela11121404841[[#This Row],[Carga (kg)]]</f>
        <v>0</v>
      </c>
    </row>
    <row r="6" spans="1:9" x14ac:dyDescent="0.25">
      <c r="A6" s="1" t="s">
        <v>100</v>
      </c>
      <c r="B6" s="1">
        <v>3</v>
      </c>
      <c r="C6" s="1">
        <v>10</v>
      </c>
      <c r="D6" s="2">
        <v>8.4722222222222213E-2</v>
      </c>
      <c r="E6" s="1">
        <v>90</v>
      </c>
      <c r="F6" s="44" t="s">
        <v>53</v>
      </c>
      <c r="G6" s="1" t="s">
        <v>101</v>
      </c>
      <c r="I6" s="1">
        <f>Tabela11121404841[[#This Row],[Séries ]]*Tabela11121404841[[#This Row],[Repetições]]*Tabela11121404841[[#This Row],[Carga (kg)]]</f>
        <v>0</v>
      </c>
    </row>
    <row r="7" spans="1:9" x14ac:dyDescent="0.25">
      <c r="A7" s="1" t="s">
        <v>102</v>
      </c>
      <c r="B7" s="1">
        <v>3</v>
      </c>
      <c r="C7" s="1">
        <v>10</v>
      </c>
      <c r="D7" s="2">
        <v>8.4722222222222213E-2</v>
      </c>
      <c r="E7" s="1">
        <v>90</v>
      </c>
      <c r="F7" s="7" t="s">
        <v>53</v>
      </c>
      <c r="G7" s="1"/>
      <c r="I7" s="1">
        <f>Tabela11121404841[[#This Row],[Séries ]]*Tabela11121404841[[#This Row],[Repetições]]*Tabela11121404841[[#This Row],[Carga (kg)]]</f>
        <v>0</v>
      </c>
    </row>
    <row r="8" spans="1:9" x14ac:dyDescent="0.25">
      <c r="A8" s="1" t="s">
        <v>103</v>
      </c>
      <c r="B8" s="1">
        <v>3</v>
      </c>
      <c r="C8" s="1">
        <v>10</v>
      </c>
      <c r="D8" s="2">
        <v>8.4722222222222213E-2</v>
      </c>
      <c r="E8" s="1">
        <v>90</v>
      </c>
      <c r="F8" s="7" t="s">
        <v>53</v>
      </c>
      <c r="G8" s="1"/>
      <c r="I8" s="1">
        <f>Tabela11121404841[[#This Row],[Séries ]]*Tabela11121404841[[#This Row],[Repetições]]*Tabela11121404841[[#This Row],[Carga (kg)]]</f>
        <v>0</v>
      </c>
    </row>
    <row r="9" spans="1:9" x14ac:dyDescent="0.25">
      <c r="A9" s="1" t="s">
        <v>104</v>
      </c>
      <c r="B9" s="1">
        <v>3</v>
      </c>
      <c r="C9" s="1">
        <v>10</v>
      </c>
      <c r="D9" s="2">
        <v>8.4722222222222213E-2</v>
      </c>
      <c r="E9" s="1">
        <v>90</v>
      </c>
      <c r="F9" s="7" t="s">
        <v>44</v>
      </c>
      <c r="G9" s="1"/>
      <c r="I9" s="1">
        <f>Tabela11121404841[[#This Row],[Séries ]]*Tabela11121404841[[#This Row],[Repetições]]*Tabela11121404841[[#This Row],[Carga (kg)]]</f>
        <v>0</v>
      </c>
    </row>
    <row r="10" spans="1:9" ht="15.75" thickBot="1" x14ac:dyDescent="0.3"/>
    <row r="11" spans="1:9" x14ac:dyDescent="0.25">
      <c r="A11" s="1" t="s">
        <v>8</v>
      </c>
      <c r="B11" s="1" t="s">
        <v>10</v>
      </c>
      <c r="C11" s="1" t="s">
        <v>9</v>
      </c>
      <c r="E11" s="13" t="s">
        <v>11</v>
      </c>
      <c r="F11" s="15"/>
    </row>
    <row r="12" spans="1:9" ht="15.75" thickBot="1" x14ac:dyDescent="0.3">
      <c r="A12" s="1"/>
      <c r="B12" s="1"/>
      <c r="C12" s="1">
        <f>Tabela2142422195[[#This Row],[Percepção Subjetiva de Esforço]]*Tabela2142422195[[#This Row],[Tempo da sessão em minutos  ]]</f>
        <v>0</v>
      </c>
      <c r="E12" s="10">
        <f>I3+I4+I5+I6+I7+I8</f>
        <v>0</v>
      </c>
      <c r="F12" s="11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6" spans="1:9" x14ac:dyDescent="0.25">
      <c r="A16" s="20" t="s">
        <v>55</v>
      </c>
      <c r="B16" s="20"/>
      <c r="C16" s="20"/>
      <c r="D16" s="20"/>
      <c r="E16" s="20"/>
      <c r="F16" s="20"/>
      <c r="G16" s="20"/>
    </row>
    <row r="17" spans="1: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25">
      <c r="A18" s="1" t="s">
        <v>98</v>
      </c>
      <c r="B18" s="1">
        <v>3</v>
      </c>
      <c r="C18" s="1">
        <v>12</v>
      </c>
      <c r="D18" s="2">
        <v>8.4722222222222213E-2</v>
      </c>
      <c r="E18" s="1">
        <v>90</v>
      </c>
      <c r="F18" s="7" t="s">
        <v>44</v>
      </c>
      <c r="G18" s="1"/>
      <c r="H18" s="1"/>
      <c r="I18" s="1">
        <f>Tabela1112125384639[[#This Row],[Séries ]]*Tabela1112125384639[[#This Row],[Repetições]]*Tabela1112125384639[[#This Row],[Carga (kg)]]</f>
        <v>0</v>
      </c>
    </row>
    <row r="19" spans="1:9" x14ac:dyDescent="0.25">
      <c r="A19" s="1" t="s">
        <v>72</v>
      </c>
      <c r="B19" s="43">
        <v>2</v>
      </c>
      <c r="C19" s="43">
        <v>10</v>
      </c>
      <c r="D19" s="2">
        <v>8.4722222222222213E-2</v>
      </c>
      <c r="E19" s="1">
        <v>90</v>
      </c>
      <c r="F19" s="7" t="s">
        <v>42</v>
      </c>
      <c r="G19" s="1" t="s">
        <v>105</v>
      </c>
      <c r="H19" s="1"/>
      <c r="I19" s="1">
        <f>Tabela1112125384639[[#This Row],[Séries ]]*Tabela1112125384639[[#This Row],[Repetições]]*Tabela1112125384639[[#This Row],[Carga (kg)]]</f>
        <v>0</v>
      </c>
    </row>
    <row r="20" spans="1:9" x14ac:dyDescent="0.25">
      <c r="A20" s="1" t="s">
        <v>99</v>
      </c>
      <c r="B20" s="43">
        <v>2</v>
      </c>
      <c r="C20" s="43">
        <v>10</v>
      </c>
      <c r="D20" s="2">
        <v>8.4722222222222213E-2</v>
      </c>
      <c r="E20" s="1">
        <v>90</v>
      </c>
      <c r="F20" s="7" t="s">
        <v>42</v>
      </c>
      <c r="G20" s="1" t="s">
        <v>105</v>
      </c>
      <c r="H20" s="1"/>
      <c r="I20" s="1">
        <f>Tabela1112125384639[[#This Row],[Séries ]]*Tabela1112125384639[[#This Row],[Repetições]]*Tabela1112125384639[[#This Row],[Carga (kg)]]</f>
        <v>0</v>
      </c>
    </row>
    <row r="21" spans="1:9" x14ac:dyDescent="0.25">
      <c r="A21" s="1" t="s">
        <v>100</v>
      </c>
      <c r="B21" s="1">
        <v>3</v>
      </c>
      <c r="C21" s="1">
        <v>10</v>
      </c>
      <c r="D21" s="2">
        <v>8.4722222222222213E-2</v>
      </c>
      <c r="E21" s="1">
        <v>90</v>
      </c>
      <c r="F21" s="44" t="s">
        <v>53</v>
      </c>
      <c r="G21" s="1" t="s">
        <v>101</v>
      </c>
      <c r="I21" s="1">
        <f>Tabela1112125384639[[#This Row],[Séries ]]*Tabela1112125384639[[#This Row],[Repetições]]*Tabela1112125384639[[#This Row],[Carga (kg)]]</f>
        <v>0</v>
      </c>
    </row>
    <row r="22" spans="1:9" x14ac:dyDescent="0.25">
      <c r="A22" s="1" t="s">
        <v>102</v>
      </c>
      <c r="B22" s="1">
        <v>3</v>
      </c>
      <c r="C22" s="1">
        <v>10</v>
      </c>
      <c r="D22" s="2">
        <v>8.4722222222222213E-2</v>
      </c>
      <c r="E22" s="1">
        <v>90</v>
      </c>
      <c r="F22" s="7" t="s">
        <v>53</v>
      </c>
      <c r="G22" s="1"/>
      <c r="I22" s="1">
        <f>Tabela1112125384639[[#This Row],[Séries ]]*Tabela1112125384639[[#This Row],[Repetições]]*Tabela1112125384639[[#This Row],[Carga (kg)]]</f>
        <v>0</v>
      </c>
    </row>
    <row r="23" spans="1:9" x14ac:dyDescent="0.25">
      <c r="A23" s="1" t="s">
        <v>103</v>
      </c>
      <c r="B23" s="1">
        <v>3</v>
      </c>
      <c r="C23" s="1">
        <v>10</v>
      </c>
      <c r="D23" s="2">
        <v>8.4722222222222213E-2</v>
      </c>
      <c r="E23" s="1">
        <v>90</v>
      </c>
      <c r="F23" s="7" t="s">
        <v>53</v>
      </c>
      <c r="G23" s="1"/>
      <c r="I23" s="1">
        <f>Tabela1112125384639[[#This Row],[Séries ]]*Tabela1112125384639[[#This Row],[Repetições]]*Tabela1112125384639[[#This Row],[Carga (kg)]]</f>
        <v>0</v>
      </c>
    </row>
    <row r="24" spans="1:9" ht="15.75" thickBot="1" x14ac:dyDescent="0.3">
      <c r="A24" s="1" t="s">
        <v>104</v>
      </c>
      <c r="B24" s="1">
        <v>3</v>
      </c>
      <c r="C24" s="1">
        <v>10</v>
      </c>
      <c r="D24" s="2">
        <v>8.4722222222222213E-2</v>
      </c>
      <c r="E24" s="1">
        <v>90</v>
      </c>
      <c r="F24" s="7" t="s">
        <v>44</v>
      </c>
      <c r="G24" s="1"/>
      <c r="I24" s="1">
        <f>Tabela1112125384639[[#This Row],[Séries ]]*Tabela1112125384639[[#This Row],[Repetições]]*Tabela1112125384639[[#This Row],[Carga (kg)]]</f>
        <v>0</v>
      </c>
    </row>
    <row r="25" spans="1:9" x14ac:dyDescent="0.25">
      <c r="A25" s="1" t="s">
        <v>8</v>
      </c>
      <c r="B25" s="1" t="s">
        <v>10</v>
      </c>
      <c r="C25" s="1" t="s">
        <v>9</v>
      </c>
      <c r="E25" s="13" t="s">
        <v>11</v>
      </c>
      <c r="F25" s="15"/>
    </row>
    <row r="26" spans="1:9" ht="15.75" thickBot="1" x14ac:dyDescent="0.3">
      <c r="A26" s="1"/>
      <c r="B26" s="1"/>
      <c r="C26" s="1">
        <f>Tabela2142427394740[[#This Row],[Percepção Subjetiva de Esforço]]*Tabela2142427394740[[#This Row],[Tempo da sessão em minutos  ]]</f>
        <v>0</v>
      </c>
      <c r="E26" s="10">
        <f>I18+I19+I20+I21+I22+I23</f>
        <v>0</v>
      </c>
      <c r="F26" s="11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30" spans="1:9" x14ac:dyDescent="0.25">
      <c r="A30" s="20" t="s">
        <v>24</v>
      </c>
      <c r="B30" s="20"/>
      <c r="C30" s="20"/>
      <c r="D30" s="20"/>
      <c r="E30" s="20"/>
      <c r="F30" s="20"/>
      <c r="G30" s="20"/>
      <c r="H30" s="20"/>
      <c r="I30" s="20"/>
    </row>
    <row r="31" spans="1:9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25">
      <c r="A32" s="1" t="s">
        <v>98</v>
      </c>
      <c r="B32" s="1">
        <v>3</v>
      </c>
      <c r="C32" s="1">
        <v>12</v>
      </c>
      <c r="D32" s="2">
        <v>8.4722222222222213E-2</v>
      </c>
      <c r="E32" s="1">
        <v>90</v>
      </c>
      <c r="F32" s="7" t="s">
        <v>44</v>
      </c>
      <c r="G32" s="1"/>
      <c r="H32" s="1"/>
      <c r="I32" s="1">
        <f>Tabela11121252623427[[#This Row],[Séries ]]*Tabela11121252623427[[#This Row],[Repetições]]*Tabela11121252623427[[#This Row],[Carga (kg)]]</f>
        <v>0</v>
      </c>
    </row>
    <row r="33" spans="1:9" x14ac:dyDescent="0.25">
      <c r="A33" s="1" t="s">
        <v>72</v>
      </c>
      <c r="B33" s="43">
        <v>2</v>
      </c>
      <c r="C33" s="43">
        <v>10</v>
      </c>
      <c r="D33" s="2">
        <v>8.4722222222222213E-2</v>
      </c>
      <c r="E33" s="1">
        <v>90</v>
      </c>
      <c r="F33" s="7" t="s">
        <v>42</v>
      </c>
      <c r="G33" s="1" t="s">
        <v>105</v>
      </c>
      <c r="H33" s="1"/>
      <c r="I33" s="1">
        <f>Tabela11121252623427[[#This Row],[Séries ]]*Tabela11121252623427[[#This Row],[Repetições]]*Tabela11121252623427[[#This Row],[Carga (kg)]]</f>
        <v>0</v>
      </c>
    </row>
    <row r="34" spans="1:9" x14ac:dyDescent="0.25">
      <c r="A34" s="1" t="s">
        <v>99</v>
      </c>
      <c r="B34" s="43">
        <v>2</v>
      </c>
      <c r="C34" s="43">
        <v>10</v>
      </c>
      <c r="D34" s="2">
        <v>8.4722222222222213E-2</v>
      </c>
      <c r="E34" s="1">
        <v>90</v>
      </c>
      <c r="F34" s="7" t="s">
        <v>42</v>
      </c>
      <c r="G34" s="1" t="s">
        <v>105</v>
      </c>
      <c r="H34" s="1"/>
      <c r="I34" s="1">
        <f>Tabela11121252623427[[#This Row],[Séries ]]*Tabela11121252623427[[#This Row],[Repetições]]*Tabela11121252623427[[#This Row],[Carga (kg)]]</f>
        <v>0</v>
      </c>
    </row>
    <row r="35" spans="1:9" x14ac:dyDescent="0.25">
      <c r="A35" s="1" t="s">
        <v>100</v>
      </c>
      <c r="B35" s="1">
        <v>3</v>
      </c>
      <c r="C35" s="1">
        <v>10</v>
      </c>
      <c r="D35" s="2">
        <v>8.4722222222222213E-2</v>
      </c>
      <c r="E35" s="1">
        <v>90</v>
      </c>
      <c r="F35" s="44" t="s">
        <v>53</v>
      </c>
      <c r="G35" s="1" t="s">
        <v>101</v>
      </c>
      <c r="I35" s="1">
        <f>Tabela11121252623427[[#This Row],[Séries ]]*Tabela11121252623427[[#This Row],[Repetições]]*Tabela11121252623427[[#This Row],[Carga (kg)]]</f>
        <v>0</v>
      </c>
    </row>
    <row r="36" spans="1:9" x14ac:dyDescent="0.25">
      <c r="A36" s="1" t="s">
        <v>102</v>
      </c>
      <c r="B36" s="1">
        <v>3</v>
      </c>
      <c r="C36" s="1">
        <v>10</v>
      </c>
      <c r="D36" s="2">
        <v>8.4722222222222213E-2</v>
      </c>
      <c r="E36" s="1">
        <v>90</v>
      </c>
      <c r="F36" s="7" t="s">
        <v>53</v>
      </c>
      <c r="G36" s="1"/>
      <c r="I36" s="1">
        <f>Tabela11121252623427[[#This Row],[Séries ]]*Tabela11121252623427[[#This Row],[Repetições]]*Tabela11121252623427[[#This Row],[Carga (kg)]]</f>
        <v>0</v>
      </c>
    </row>
    <row r="37" spans="1:9" x14ac:dyDescent="0.25">
      <c r="A37" s="1" t="s">
        <v>103</v>
      </c>
      <c r="B37" s="1">
        <v>3</v>
      </c>
      <c r="C37" s="1">
        <v>10</v>
      </c>
      <c r="D37" s="2">
        <v>8.4722222222222213E-2</v>
      </c>
      <c r="E37" s="1">
        <v>90</v>
      </c>
      <c r="F37" s="7" t="s">
        <v>53</v>
      </c>
      <c r="G37" s="1"/>
      <c r="I37" s="1">
        <f>Tabela11121252623427[[#This Row],[Séries ]]*Tabela11121252623427[[#This Row],[Repetições]]*Tabela11121252623427[[#This Row],[Carga (kg)]]</f>
        <v>0</v>
      </c>
    </row>
    <row r="38" spans="1:9" ht="15.75" thickBot="1" x14ac:dyDescent="0.3">
      <c r="A38" s="1" t="s">
        <v>104</v>
      </c>
      <c r="B38" s="1">
        <v>3</v>
      </c>
      <c r="C38" s="1">
        <v>10</v>
      </c>
      <c r="D38" s="2">
        <v>8.4722222222222213E-2</v>
      </c>
      <c r="E38" s="1">
        <v>90</v>
      </c>
      <c r="F38" s="7" t="s">
        <v>44</v>
      </c>
      <c r="G38" s="1"/>
      <c r="I38" s="1">
        <f>Tabela11121252623427[[#This Row],[Séries ]]*Tabela11121252623427[[#This Row],[Repetições]]*Tabela11121252623427[[#This Row],[Carga (kg)]]</f>
        <v>0</v>
      </c>
    </row>
    <row r="39" spans="1:9" x14ac:dyDescent="0.25">
      <c r="A39" s="1" t="s">
        <v>8</v>
      </c>
      <c r="B39" s="1" t="s">
        <v>10</v>
      </c>
      <c r="C39" s="1" t="s">
        <v>9</v>
      </c>
      <c r="E39" s="13" t="s">
        <v>11</v>
      </c>
      <c r="F39" s="15"/>
    </row>
    <row r="40" spans="1:9" ht="15.75" thickBot="1" x14ac:dyDescent="0.3">
      <c r="A40" s="1"/>
      <c r="B40" s="1"/>
      <c r="C40" s="1">
        <f>Tabela214242728314312[[#This Row],[Percepção Subjetiva de Esforço]]*Tabela214242728314312[[#This Row],[Tempo da sessão em minutos  ]]</f>
        <v>0</v>
      </c>
      <c r="E40" s="10">
        <f>I32+I33+I34+I35+I36+I37</f>
        <v>0</v>
      </c>
      <c r="F40" s="11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4" spans="1:9" x14ac:dyDescent="0.25">
      <c r="A44" s="20" t="s">
        <v>25</v>
      </c>
      <c r="B44" s="20"/>
      <c r="C44" s="20"/>
      <c r="D44" s="20"/>
      <c r="E44" s="20"/>
      <c r="F44" s="20"/>
      <c r="G44" s="20"/>
      <c r="H44" s="20"/>
      <c r="I44" s="20"/>
    </row>
    <row r="45" spans="1:9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</row>
    <row r="46" spans="1:9" x14ac:dyDescent="0.25">
      <c r="A46" s="1" t="s">
        <v>98</v>
      </c>
      <c r="B46" s="1">
        <v>3</v>
      </c>
      <c r="C46" s="1">
        <v>12</v>
      </c>
      <c r="D46" s="2">
        <v>8.4722222222222213E-2</v>
      </c>
      <c r="E46" s="1">
        <v>90</v>
      </c>
      <c r="F46" s="7" t="s">
        <v>44</v>
      </c>
      <c r="G46" s="1"/>
      <c r="H46" s="1"/>
      <c r="I46" s="1">
        <f>Tabela11121252629364437[[#This Row],[Séries ]]*Tabela11121252629364437[[#This Row],[Repetições]]*Tabela11121252629364437[[#This Row],[Carga (kg)]]</f>
        <v>0</v>
      </c>
    </row>
    <row r="47" spans="1:9" x14ac:dyDescent="0.25">
      <c r="A47" s="1" t="s">
        <v>72</v>
      </c>
      <c r="B47" s="43">
        <v>2</v>
      </c>
      <c r="C47" s="43">
        <v>10</v>
      </c>
      <c r="D47" s="2">
        <v>8.4722222222222213E-2</v>
      </c>
      <c r="E47" s="1">
        <v>90</v>
      </c>
      <c r="F47" s="7" t="s">
        <v>42</v>
      </c>
      <c r="G47" s="1" t="s">
        <v>105</v>
      </c>
      <c r="H47" s="1"/>
      <c r="I47" s="1">
        <f>Tabela11121252629364437[[#This Row],[Séries ]]*Tabela11121252629364437[[#This Row],[Repetições]]*Tabela11121252629364437[[#This Row],[Carga (kg)]]</f>
        <v>0</v>
      </c>
    </row>
    <row r="48" spans="1:9" x14ac:dyDescent="0.25">
      <c r="A48" s="1" t="s">
        <v>99</v>
      </c>
      <c r="B48" s="43">
        <v>2</v>
      </c>
      <c r="C48" s="43">
        <v>10</v>
      </c>
      <c r="D48" s="2">
        <v>8.4722222222222213E-2</v>
      </c>
      <c r="E48" s="1">
        <v>90</v>
      </c>
      <c r="F48" s="7" t="s">
        <v>42</v>
      </c>
      <c r="G48" s="1" t="s">
        <v>105</v>
      </c>
      <c r="H48" s="1"/>
      <c r="I48" s="1">
        <f>Tabela11121252629364437[[#This Row],[Séries ]]*Tabela11121252629364437[[#This Row],[Repetições]]*Tabela11121252629364437[[#This Row],[Carga (kg)]]</f>
        <v>0</v>
      </c>
    </row>
    <row r="49" spans="1:9" x14ac:dyDescent="0.25">
      <c r="A49" s="1" t="s">
        <v>100</v>
      </c>
      <c r="B49" s="1">
        <v>3</v>
      </c>
      <c r="C49" s="1">
        <v>10</v>
      </c>
      <c r="D49" s="2">
        <v>8.4722222222222213E-2</v>
      </c>
      <c r="E49" s="1">
        <v>90</v>
      </c>
      <c r="F49" s="44" t="s">
        <v>53</v>
      </c>
      <c r="G49" s="1" t="s">
        <v>101</v>
      </c>
      <c r="I49" s="1">
        <f>Tabela11121252629364437[[#This Row],[Séries ]]*Tabela11121252629364437[[#This Row],[Repetições]]*Tabela11121252629364437[[#This Row],[Carga (kg)]]</f>
        <v>0</v>
      </c>
    </row>
    <row r="50" spans="1:9" x14ac:dyDescent="0.25">
      <c r="A50" s="1" t="s">
        <v>102</v>
      </c>
      <c r="B50" s="1">
        <v>3</v>
      </c>
      <c r="C50" s="1">
        <v>10</v>
      </c>
      <c r="D50" s="2">
        <v>8.4722222222222213E-2</v>
      </c>
      <c r="E50" s="1">
        <v>90</v>
      </c>
      <c r="F50" s="7" t="s">
        <v>53</v>
      </c>
      <c r="G50" s="1"/>
      <c r="I50" s="1">
        <f>Tabela11121252629364437[[#This Row],[Séries ]]*Tabela11121252629364437[[#This Row],[Repetições]]*Tabela11121252629364437[[#This Row],[Carga (kg)]]</f>
        <v>0</v>
      </c>
    </row>
    <row r="51" spans="1:9" x14ac:dyDescent="0.25">
      <c r="A51" s="1" t="s">
        <v>103</v>
      </c>
      <c r="B51" s="1">
        <v>3</v>
      </c>
      <c r="C51" s="1">
        <v>10</v>
      </c>
      <c r="D51" s="2">
        <v>8.4722222222222213E-2</v>
      </c>
      <c r="E51" s="1">
        <v>90</v>
      </c>
      <c r="F51" s="7" t="s">
        <v>53</v>
      </c>
      <c r="G51" s="1"/>
      <c r="I51" s="1">
        <f>Tabela11121252629364437[[#This Row],[Séries ]]*Tabela11121252629364437[[#This Row],[Repetições]]*Tabela11121252629364437[[#This Row],[Carga (kg)]]</f>
        <v>0</v>
      </c>
    </row>
    <row r="52" spans="1:9" ht="15.75" thickBot="1" x14ac:dyDescent="0.3">
      <c r="A52" s="1" t="s">
        <v>104</v>
      </c>
      <c r="B52" s="1">
        <v>3</v>
      </c>
      <c r="C52" s="1">
        <v>10</v>
      </c>
      <c r="D52" s="2">
        <v>8.4722222222222213E-2</v>
      </c>
      <c r="E52" s="1">
        <v>90</v>
      </c>
      <c r="F52" s="7" t="s">
        <v>44</v>
      </c>
      <c r="G52" s="1"/>
      <c r="H52" s="1"/>
      <c r="I52" s="1">
        <f>Tabela11121252629364437[[#This Row],[Séries ]]*Tabela11121252629364437[[#This Row],[Repetições]]*Tabela11121252629364437[[#This Row],[Carga (kg)]]</f>
        <v>0</v>
      </c>
    </row>
    <row r="53" spans="1:9" x14ac:dyDescent="0.25">
      <c r="A53" s="1" t="s">
        <v>8</v>
      </c>
      <c r="B53" s="1" t="s">
        <v>10</v>
      </c>
      <c r="C53" s="1" t="s">
        <v>9</v>
      </c>
      <c r="E53" s="13" t="s">
        <v>14</v>
      </c>
      <c r="F53" s="15"/>
    </row>
    <row r="54" spans="1:9" ht="15.75" thickBot="1" x14ac:dyDescent="0.3">
      <c r="A54" s="1"/>
      <c r="B54" s="1"/>
      <c r="C54" s="1">
        <f>Tabela21424272830374538[[#This Row],[Percepção Subjetiva de Esforço]]*Tabela21424272830374538[[#This Row],[Tempo da sessão em minutos  ]]</f>
        <v>0</v>
      </c>
      <c r="E54" s="10">
        <f>I46+I47+I48+I50+I49+I51</f>
        <v>0</v>
      </c>
      <c r="F54" s="11"/>
    </row>
  </sheetData>
  <mergeCells count="12">
    <mergeCell ref="E54:F54"/>
    <mergeCell ref="A1:G1"/>
    <mergeCell ref="E11:F11"/>
    <mergeCell ref="E12:F12"/>
    <mergeCell ref="A16:G16"/>
    <mergeCell ref="E25:F25"/>
    <mergeCell ref="E26:F26"/>
    <mergeCell ref="A30:I30"/>
    <mergeCell ref="E39:F39"/>
    <mergeCell ref="E40:F40"/>
    <mergeCell ref="A44:I44"/>
    <mergeCell ref="E53:F53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EC959-21A7-4A59-928C-005F4FA92141}">
  <dimension ref="A1:I54"/>
  <sheetViews>
    <sheetView topLeftCell="A35" workbookViewId="0">
      <selection activeCell="A46" sqref="A46:G52"/>
    </sheetView>
  </sheetViews>
  <sheetFormatPr defaultRowHeight="15" x14ac:dyDescent="0.25"/>
  <cols>
    <col min="1" max="1" width="53" customWidth="1"/>
    <col min="2" max="2" width="33" bestFit="1" customWidth="1"/>
    <col min="3" max="3" width="24.42578125" bestFit="1" customWidth="1"/>
    <col min="4" max="5" width="14" bestFit="1" customWidth="1"/>
    <col min="6" max="6" width="25.5703125" customWidth="1"/>
    <col min="7" max="7" width="62.42578125" bestFit="1" customWidth="1"/>
    <col min="8" max="8" width="14.28515625" bestFit="1" customWidth="1"/>
    <col min="9" max="9" width="9.7109375" bestFit="1" customWidth="1"/>
  </cols>
  <sheetData>
    <row r="1" spans="1:9" x14ac:dyDescent="0.25">
      <c r="A1" s="21" t="s">
        <v>57</v>
      </c>
      <c r="B1" s="21"/>
      <c r="C1" s="21"/>
      <c r="D1" s="21"/>
      <c r="E1" s="21"/>
      <c r="F1" s="21"/>
      <c r="G1" s="21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5">
      <c r="A3" s="1" t="s">
        <v>107</v>
      </c>
      <c r="B3" s="1">
        <v>2</v>
      </c>
      <c r="C3" s="1">
        <v>10</v>
      </c>
      <c r="D3" s="2">
        <v>8.4722222222222213E-2</v>
      </c>
      <c r="E3" s="1">
        <v>90</v>
      </c>
      <c r="F3" s="8" t="s">
        <v>42</v>
      </c>
      <c r="G3" s="1" t="s">
        <v>106</v>
      </c>
      <c r="H3" s="1"/>
      <c r="I3" s="1">
        <f>Tabela11121[[#This Row],[Séries ]]*Tabela11121[[#This Row],[Repetições]]*Tabela11121[[#This Row],[Carga (kg)]]</f>
        <v>0</v>
      </c>
    </row>
    <row r="4" spans="1:9" x14ac:dyDescent="0.25">
      <c r="A4" s="1" t="s">
        <v>108</v>
      </c>
      <c r="B4" s="1">
        <v>2</v>
      </c>
      <c r="C4" s="1">
        <v>12</v>
      </c>
      <c r="D4" s="2">
        <v>8.4722222222222213E-2</v>
      </c>
      <c r="E4" s="1">
        <v>90</v>
      </c>
      <c r="F4" s="8" t="s">
        <v>114</v>
      </c>
      <c r="G4" s="1" t="s">
        <v>106</v>
      </c>
      <c r="H4" s="1"/>
      <c r="I4" s="1">
        <f>Tabela11121[[#This Row],[Séries ]]*Tabela11121[[#This Row],[Repetições]]*Tabela11121[[#This Row],[Carga (kg)]]</f>
        <v>0</v>
      </c>
    </row>
    <row r="5" spans="1:9" x14ac:dyDescent="0.25">
      <c r="A5" s="1" t="s">
        <v>85</v>
      </c>
      <c r="B5" s="1">
        <v>2</v>
      </c>
      <c r="C5" s="1">
        <v>10</v>
      </c>
      <c r="D5" s="2">
        <v>8.4722222222222213E-2</v>
      </c>
      <c r="E5" s="1">
        <v>90</v>
      </c>
      <c r="F5" s="8" t="s">
        <v>42</v>
      </c>
      <c r="G5" s="1" t="s">
        <v>106</v>
      </c>
      <c r="H5" s="1"/>
      <c r="I5" s="1">
        <f>Tabela11121[[#This Row],[Séries ]]*Tabela11121[[#This Row],[Repetições]]*Tabela11121[[#This Row],[Carga (kg)]]</f>
        <v>0</v>
      </c>
    </row>
    <row r="6" spans="1:9" x14ac:dyDescent="0.25">
      <c r="A6" s="1" t="s">
        <v>109</v>
      </c>
      <c r="B6" s="1">
        <v>2</v>
      </c>
      <c r="C6" s="1">
        <v>8</v>
      </c>
      <c r="D6" s="2">
        <v>8.4722222222222213E-2</v>
      </c>
      <c r="E6" s="1">
        <v>90</v>
      </c>
      <c r="F6" s="8" t="s">
        <v>114</v>
      </c>
      <c r="G6" s="1" t="s">
        <v>106</v>
      </c>
      <c r="I6" s="1">
        <f>Tabela11121[[#This Row],[Séries ]]*Tabela11121[[#This Row],[Repetições]]*Tabela11121[[#This Row],[Carga (kg)]]</f>
        <v>0</v>
      </c>
    </row>
    <row r="7" spans="1:9" x14ac:dyDescent="0.25">
      <c r="A7" s="1" t="s">
        <v>110</v>
      </c>
      <c r="B7" s="1">
        <v>2</v>
      </c>
      <c r="C7" s="1">
        <v>8</v>
      </c>
      <c r="D7" s="2">
        <v>8.4722222222222213E-2</v>
      </c>
      <c r="E7" s="1">
        <v>90</v>
      </c>
      <c r="F7" s="8" t="s">
        <v>114</v>
      </c>
      <c r="G7" s="1" t="s">
        <v>106</v>
      </c>
      <c r="I7" s="1">
        <f>Tabela11121[[#This Row],[Séries ]]*Tabela11121[[#This Row],[Repetições]]*Tabela11121[[#This Row],[Carga (kg)]]</f>
        <v>0</v>
      </c>
    </row>
    <row r="8" spans="1:9" x14ac:dyDescent="0.25">
      <c r="A8" s="1" t="s">
        <v>111</v>
      </c>
      <c r="B8" s="1">
        <v>2</v>
      </c>
      <c r="C8" s="1">
        <v>10</v>
      </c>
      <c r="D8" s="2">
        <v>8.4722222222222213E-2</v>
      </c>
      <c r="E8" s="1">
        <v>90</v>
      </c>
      <c r="F8" s="8" t="s">
        <v>113</v>
      </c>
      <c r="G8" s="1" t="s">
        <v>106</v>
      </c>
      <c r="I8" s="1">
        <f>Tabela11121[[#This Row],[Séries ]]*Tabela11121[[#This Row],[Repetições]]*Tabela11121[[#This Row],[Carga (kg)]]</f>
        <v>0</v>
      </c>
    </row>
    <row r="9" spans="1:9" x14ac:dyDescent="0.25">
      <c r="A9" s="1" t="s">
        <v>112</v>
      </c>
      <c r="B9" s="1">
        <v>2</v>
      </c>
      <c r="C9" s="1">
        <v>10</v>
      </c>
      <c r="D9" s="2">
        <v>8.4722222222222213E-2</v>
      </c>
      <c r="E9" s="1">
        <v>90</v>
      </c>
      <c r="F9" s="8" t="s">
        <v>113</v>
      </c>
      <c r="G9" s="1" t="s">
        <v>106</v>
      </c>
      <c r="I9" s="1">
        <f>Tabela11121[[#This Row],[Séries ]]*Tabela11121[[#This Row],[Repetições]]*Tabela11121[[#This Row],[Carga (kg)]]</f>
        <v>0</v>
      </c>
    </row>
    <row r="10" spans="1:9" ht="15.75" thickBot="1" x14ac:dyDescent="0.3"/>
    <row r="11" spans="1:9" x14ac:dyDescent="0.25">
      <c r="A11" s="1" t="s">
        <v>8</v>
      </c>
      <c r="B11" s="1" t="s">
        <v>10</v>
      </c>
      <c r="C11" s="1" t="s">
        <v>9</v>
      </c>
      <c r="E11" s="13" t="s">
        <v>11</v>
      </c>
      <c r="F11" s="15"/>
    </row>
    <row r="12" spans="1:9" ht="15.75" thickBot="1" x14ac:dyDescent="0.3">
      <c r="A12" s="1"/>
      <c r="B12" s="1"/>
      <c r="C12" s="1">
        <f>Tabela21424[[#This Row],[Percepção Subjetiva de Esforço]]*Tabela21424[[#This Row],[Tempo da sessão em minutos  ]]</f>
        <v>0</v>
      </c>
      <c r="E12" s="10">
        <f>I3+I4+I5+I7+I8+I9</f>
        <v>0</v>
      </c>
      <c r="F12" s="11"/>
    </row>
    <row r="14" spans="1:9" x14ac:dyDescent="0.25">
      <c r="A14" s="3"/>
      <c r="B14" s="3"/>
      <c r="C14" s="3"/>
      <c r="D14" s="3"/>
      <c r="E14" s="3"/>
      <c r="F14" s="3"/>
      <c r="G14" s="3"/>
      <c r="H14" s="3"/>
      <c r="I14" s="3"/>
    </row>
    <row r="16" spans="1:9" x14ac:dyDescent="0.25">
      <c r="A16" s="21" t="s">
        <v>56</v>
      </c>
      <c r="B16" s="21"/>
      <c r="C16" s="21"/>
      <c r="D16" s="21"/>
      <c r="E16" s="21"/>
      <c r="F16" s="21"/>
      <c r="G16" s="21"/>
    </row>
    <row r="17" spans="1: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  <c r="H17" s="1" t="s">
        <v>7</v>
      </c>
      <c r="I17" s="1" t="s">
        <v>13</v>
      </c>
    </row>
    <row r="18" spans="1:9" x14ac:dyDescent="0.25">
      <c r="A18" s="1" t="s">
        <v>107</v>
      </c>
      <c r="B18" s="1">
        <v>2</v>
      </c>
      <c r="C18" s="1">
        <v>10</v>
      </c>
      <c r="D18" s="2">
        <v>8.4722222222222213E-2</v>
      </c>
      <c r="E18" s="1">
        <v>90</v>
      </c>
      <c r="F18" s="8" t="s">
        <v>42</v>
      </c>
      <c r="G18" s="1" t="s">
        <v>106</v>
      </c>
      <c r="H18" s="1"/>
      <c r="I18" s="1">
        <f>Tabela1112125[[#This Row],[Séries ]]*Tabela1112125[[#This Row],[Repetições]]*Tabela1112125[[#This Row],[Carga (kg)]]</f>
        <v>0</v>
      </c>
    </row>
    <row r="19" spans="1:9" x14ac:dyDescent="0.25">
      <c r="A19" s="1" t="s">
        <v>108</v>
      </c>
      <c r="B19" s="1">
        <v>2</v>
      </c>
      <c r="C19" s="1">
        <v>12</v>
      </c>
      <c r="D19" s="2">
        <v>8.4722222222222213E-2</v>
      </c>
      <c r="E19" s="1">
        <v>90</v>
      </c>
      <c r="F19" s="8" t="s">
        <v>114</v>
      </c>
      <c r="G19" s="1" t="s">
        <v>106</v>
      </c>
      <c r="H19" s="1"/>
      <c r="I19" s="1">
        <f>Tabela1112125[[#This Row],[Séries ]]*Tabela1112125[[#This Row],[Repetições]]*Tabela1112125[[#This Row],[Carga (kg)]]</f>
        <v>0</v>
      </c>
    </row>
    <row r="20" spans="1:9" x14ac:dyDescent="0.25">
      <c r="A20" s="1" t="s">
        <v>85</v>
      </c>
      <c r="B20" s="1">
        <v>2</v>
      </c>
      <c r="C20" s="1">
        <v>10</v>
      </c>
      <c r="D20" s="2">
        <v>8.4722222222222213E-2</v>
      </c>
      <c r="E20" s="1">
        <v>90</v>
      </c>
      <c r="F20" s="8" t="s">
        <v>42</v>
      </c>
      <c r="G20" s="1" t="s">
        <v>106</v>
      </c>
      <c r="H20" s="1"/>
      <c r="I20" s="1">
        <f>Tabela1112125[[#This Row],[Séries ]]*Tabela1112125[[#This Row],[Repetições]]*Tabela1112125[[#This Row],[Carga (kg)]]</f>
        <v>0</v>
      </c>
    </row>
    <row r="21" spans="1:9" x14ac:dyDescent="0.25">
      <c r="A21" s="1" t="s">
        <v>109</v>
      </c>
      <c r="B21" s="1">
        <v>2</v>
      </c>
      <c r="C21" s="1">
        <v>8</v>
      </c>
      <c r="D21" s="2">
        <v>8.4722222222222213E-2</v>
      </c>
      <c r="E21" s="1">
        <v>90</v>
      </c>
      <c r="F21" s="8" t="s">
        <v>114</v>
      </c>
      <c r="G21" s="1" t="s">
        <v>106</v>
      </c>
      <c r="I21" s="1">
        <f>Tabela1112125[[#This Row],[Séries ]]*Tabela1112125[[#This Row],[Repetições]]*Tabela1112125[[#This Row],[Carga (kg)]]</f>
        <v>0</v>
      </c>
    </row>
    <row r="22" spans="1:9" x14ac:dyDescent="0.25">
      <c r="A22" s="1" t="s">
        <v>110</v>
      </c>
      <c r="B22" s="1">
        <v>2</v>
      </c>
      <c r="C22" s="1">
        <v>8</v>
      </c>
      <c r="D22" s="2">
        <v>8.4722222222222213E-2</v>
      </c>
      <c r="E22" s="1">
        <v>90</v>
      </c>
      <c r="F22" s="8" t="s">
        <v>114</v>
      </c>
      <c r="G22" s="1" t="s">
        <v>106</v>
      </c>
      <c r="I22" s="1">
        <f>Tabela1112125[[#This Row],[Séries ]]*Tabela1112125[[#This Row],[Repetições]]*Tabela1112125[[#This Row],[Carga (kg)]]</f>
        <v>0</v>
      </c>
    </row>
    <row r="23" spans="1:9" x14ac:dyDescent="0.25">
      <c r="A23" s="1" t="s">
        <v>111</v>
      </c>
      <c r="B23" s="1">
        <v>2</v>
      </c>
      <c r="C23" s="1">
        <v>10</v>
      </c>
      <c r="D23" s="2">
        <v>8.4722222222222213E-2</v>
      </c>
      <c r="E23" s="1">
        <v>90</v>
      </c>
      <c r="F23" s="8" t="s">
        <v>113</v>
      </c>
      <c r="G23" s="1" t="s">
        <v>106</v>
      </c>
      <c r="I23" s="1">
        <f>Tabela1112125[[#This Row],[Séries ]]*Tabela1112125[[#This Row],[Repetições]]*Tabela1112125[[#This Row],[Carga (kg)]]</f>
        <v>0</v>
      </c>
    </row>
    <row r="24" spans="1:9" ht="15.75" thickBot="1" x14ac:dyDescent="0.3">
      <c r="A24" s="1" t="s">
        <v>112</v>
      </c>
      <c r="B24" s="1">
        <v>2</v>
      </c>
      <c r="C24" s="1">
        <v>10</v>
      </c>
      <c r="D24" s="2">
        <v>8.4722222222222213E-2</v>
      </c>
      <c r="E24" s="1">
        <v>90</v>
      </c>
      <c r="F24" s="8" t="s">
        <v>113</v>
      </c>
      <c r="G24" s="1" t="s">
        <v>106</v>
      </c>
      <c r="I24" s="1">
        <f>Tabela1112125[[#This Row],[Séries ]]*Tabela1112125[[#This Row],[Repetições]]*Tabela1112125[[#This Row],[Carga (kg)]]</f>
        <v>0</v>
      </c>
    </row>
    <row r="25" spans="1:9" x14ac:dyDescent="0.25">
      <c r="A25" s="1" t="s">
        <v>8</v>
      </c>
      <c r="B25" s="1" t="s">
        <v>10</v>
      </c>
      <c r="C25" s="1" t="s">
        <v>9</v>
      </c>
      <c r="E25" s="13" t="s">
        <v>11</v>
      </c>
      <c r="F25" s="14"/>
    </row>
    <row r="26" spans="1:9" ht="15.75" thickBot="1" x14ac:dyDescent="0.3">
      <c r="A26" s="1"/>
      <c r="B26" s="1"/>
      <c r="C26" s="1">
        <f>Tabela2142427[[#This Row],[Percepção Subjetiva de Esforço]]*Tabela2142427[[#This Row],[Tempo da sessão em minutos  ]]</f>
        <v>0</v>
      </c>
      <c r="E26" s="10">
        <f>I18+I19+I20+I21+I23+I24</f>
        <v>0</v>
      </c>
      <c r="F26" s="11"/>
    </row>
    <row r="28" spans="1:9" x14ac:dyDescent="0.25">
      <c r="A28" s="3"/>
      <c r="B28" s="3"/>
      <c r="C28" s="3"/>
      <c r="D28" s="3"/>
      <c r="E28" s="3"/>
      <c r="F28" s="3"/>
      <c r="G28" s="3"/>
      <c r="H28" s="3"/>
      <c r="I28" s="3"/>
    </row>
    <row r="30" spans="1:9" x14ac:dyDescent="0.25">
      <c r="A30" s="21" t="s">
        <v>43</v>
      </c>
      <c r="B30" s="21"/>
      <c r="C30" s="21"/>
      <c r="D30" s="21"/>
      <c r="E30" s="21"/>
      <c r="F30" s="21"/>
      <c r="G30" s="21"/>
      <c r="H30" s="21"/>
      <c r="I30" s="21"/>
    </row>
    <row r="31" spans="1:9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4</v>
      </c>
      <c r="F31" s="1" t="s">
        <v>5</v>
      </c>
      <c r="G31" s="1" t="s">
        <v>6</v>
      </c>
      <c r="H31" s="1" t="s">
        <v>7</v>
      </c>
      <c r="I31" s="1" t="s">
        <v>13</v>
      </c>
    </row>
    <row r="32" spans="1:9" x14ac:dyDescent="0.25">
      <c r="A32" s="1" t="s">
        <v>107</v>
      </c>
      <c r="B32" s="1">
        <v>2</v>
      </c>
      <c r="C32" s="1">
        <v>10</v>
      </c>
      <c r="D32" s="2">
        <v>8.4722222222222213E-2</v>
      </c>
      <c r="E32" s="1">
        <v>90</v>
      </c>
      <c r="F32" s="8" t="s">
        <v>42</v>
      </c>
      <c r="G32" s="1" t="s">
        <v>106</v>
      </c>
      <c r="H32" s="1"/>
      <c r="I32" s="1">
        <f>Tabela111212526[[#This Row],[Séries ]]*Tabela111212526[[#This Row],[Repetições]]*Tabela111212526[[#This Row],[Carga (kg)]]</f>
        <v>0</v>
      </c>
    </row>
    <row r="33" spans="1:9" x14ac:dyDescent="0.25">
      <c r="A33" s="1" t="s">
        <v>108</v>
      </c>
      <c r="B33" s="1">
        <v>2</v>
      </c>
      <c r="C33" s="1">
        <v>12</v>
      </c>
      <c r="D33" s="2">
        <v>8.4722222222222213E-2</v>
      </c>
      <c r="E33" s="1">
        <v>90</v>
      </c>
      <c r="F33" s="8" t="s">
        <v>114</v>
      </c>
      <c r="G33" s="1" t="s">
        <v>106</v>
      </c>
      <c r="H33" s="1"/>
      <c r="I33" s="1">
        <f>Tabela111212526[[#This Row],[Séries ]]*Tabela111212526[[#This Row],[Repetições]]*Tabela111212526[[#This Row],[Carga (kg)]]</f>
        <v>0</v>
      </c>
    </row>
    <row r="34" spans="1:9" x14ac:dyDescent="0.25">
      <c r="A34" s="1" t="s">
        <v>85</v>
      </c>
      <c r="B34" s="1">
        <v>2</v>
      </c>
      <c r="C34" s="1">
        <v>10</v>
      </c>
      <c r="D34" s="2">
        <v>8.4722222222222213E-2</v>
      </c>
      <c r="E34" s="1">
        <v>90</v>
      </c>
      <c r="F34" s="8" t="s">
        <v>42</v>
      </c>
      <c r="G34" s="1" t="s">
        <v>106</v>
      </c>
      <c r="H34" s="1"/>
      <c r="I34" s="1">
        <f>Tabela111212526[[#This Row],[Séries ]]*Tabela111212526[[#This Row],[Repetições]]*Tabela111212526[[#This Row],[Carga (kg)]]</f>
        <v>0</v>
      </c>
    </row>
    <row r="35" spans="1:9" x14ac:dyDescent="0.25">
      <c r="A35" s="1" t="s">
        <v>109</v>
      </c>
      <c r="B35" s="1">
        <v>2</v>
      </c>
      <c r="C35" s="1">
        <v>8</v>
      </c>
      <c r="D35" s="2">
        <v>8.4722222222222213E-2</v>
      </c>
      <c r="E35" s="1">
        <v>90</v>
      </c>
      <c r="F35" s="8" t="s">
        <v>114</v>
      </c>
      <c r="G35" s="1" t="s">
        <v>106</v>
      </c>
      <c r="I35" s="1">
        <f>Tabela111212526[[#This Row],[Séries ]]*Tabela111212526[[#This Row],[Repetições]]*Tabela111212526[[#This Row],[Carga (kg)]]</f>
        <v>0</v>
      </c>
    </row>
    <row r="36" spans="1:9" x14ac:dyDescent="0.25">
      <c r="A36" s="1" t="s">
        <v>110</v>
      </c>
      <c r="B36" s="1">
        <v>2</v>
      </c>
      <c r="C36" s="1">
        <v>8</v>
      </c>
      <c r="D36" s="2">
        <v>8.4722222222222213E-2</v>
      </c>
      <c r="E36" s="1">
        <v>90</v>
      </c>
      <c r="F36" s="8" t="s">
        <v>114</v>
      </c>
      <c r="G36" s="1" t="s">
        <v>106</v>
      </c>
      <c r="I36" s="1">
        <f>Tabela111212526[[#This Row],[Séries ]]*Tabela111212526[[#This Row],[Repetições]]*Tabela111212526[[#This Row],[Carga (kg)]]</f>
        <v>0</v>
      </c>
    </row>
    <row r="37" spans="1:9" x14ac:dyDescent="0.25">
      <c r="A37" s="1" t="s">
        <v>111</v>
      </c>
      <c r="B37" s="1">
        <v>2</v>
      </c>
      <c r="C37" s="1">
        <v>10</v>
      </c>
      <c r="D37" s="2">
        <v>8.4722222222222213E-2</v>
      </c>
      <c r="E37" s="1">
        <v>90</v>
      </c>
      <c r="F37" s="8" t="s">
        <v>113</v>
      </c>
      <c r="G37" s="1" t="s">
        <v>106</v>
      </c>
      <c r="I37" s="1">
        <f>Tabela111212526[[#This Row],[Séries ]]*Tabela111212526[[#This Row],[Repetições]]*Tabela111212526[[#This Row],[Carga (kg)]]</f>
        <v>0</v>
      </c>
    </row>
    <row r="38" spans="1:9" ht="15.75" thickBot="1" x14ac:dyDescent="0.3">
      <c r="A38" s="1" t="s">
        <v>112</v>
      </c>
      <c r="B38" s="1">
        <v>2</v>
      </c>
      <c r="C38" s="1">
        <v>10</v>
      </c>
      <c r="D38" s="2">
        <v>8.4722222222222213E-2</v>
      </c>
      <c r="E38" s="1">
        <v>90</v>
      </c>
      <c r="F38" s="8" t="s">
        <v>113</v>
      </c>
      <c r="G38" s="1" t="s">
        <v>106</v>
      </c>
      <c r="I38" s="1">
        <f>Tabela111212526[[#This Row],[Séries ]]*Tabela111212526[[#This Row],[Repetições]]*Tabela111212526[[#This Row],[Carga (kg)]]</f>
        <v>0</v>
      </c>
    </row>
    <row r="39" spans="1:9" x14ac:dyDescent="0.25">
      <c r="A39" s="1" t="s">
        <v>8</v>
      </c>
      <c r="B39" s="1" t="s">
        <v>10</v>
      </c>
      <c r="C39" s="1" t="s">
        <v>9</v>
      </c>
      <c r="E39" s="13" t="s">
        <v>11</v>
      </c>
      <c r="F39" s="14"/>
    </row>
    <row r="40" spans="1:9" ht="15.75" thickBot="1" x14ac:dyDescent="0.3">
      <c r="A40" s="1"/>
      <c r="B40" s="1"/>
      <c r="C40" s="1">
        <f>Tabela214242728[[#This Row],[Percepção Subjetiva de Esforço]]*Tabela214242728[[#This Row],[Tempo da sessão em minutos  ]]</f>
        <v>0</v>
      </c>
      <c r="E40" s="10">
        <f>I32+I33+I34+I35+I37+I36+I38</f>
        <v>0</v>
      </c>
      <c r="F40" s="11"/>
    </row>
    <row r="42" spans="1:9" x14ac:dyDescent="0.25">
      <c r="A42" s="3"/>
      <c r="B42" s="3"/>
      <c r="C42" s="3"/>
      <c r="D42" s="3"/>
      <c r="E42" s="3"/>
      <c r="F42" s="3"/>
      <c r="G42" s="3"/>
      <c r="H42" s="3"/>
      <c r="I42" s="3"/>
    </row>
    <row r="44" spans="1:9" x14ac:dyDescent="0.25">
      <c r="A44" s="21" t="s">
        <v>25</v>
      </c>
      <c r="B44" s="21"/>
      <c r="C44" s="21"/>
      <c r="D44" s="21"/>
      <c r="E44" s="21"/>
      <c r="F44" s="21"/>
      <c r="G44" s="21"/>
      <c r="H44" s="21"/>
      <c r="I44" s="21"/>
    </row>
    <row r="45" spans="1:9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4</v>
      </c>
      <c r="F45" s="1" t="s">
        <v>5</v>
      </c>
      <c r="G45" s="1" t="s">
        <v>6</v>
      </c>
      <c r="H45" s="1" t="s">
        <v>7</v>
      </c>
      <c r="I45" s="1" t="s">
        <v>13</v>
      </c>
    </row>
    <row r="46" spans="1:9" x14ac:dyDescent="0.25">
      <c r="A46" s="1" t="s">
        <v>107</v>
      </c>
      <c r="B46" s="1">
        <v>2</v>
      </c>
      <c r="C46" s="1">
        <v>10</v>
      </c>
      <c r="D46" s="2">
        <v>8.4722222222222213E-2</v>
      </c>
      <c r="E46" s="1">
        <v>90</v>
      </c>
      <c r="F46" s="8" t="s">
        <v>42</v>
      </c>
      <c r="G46" s="1" t="s">
        <v>106</v>
      </c>
      <c r="H46" s="1"/>
      <c r="I46" s="1">
        <f>Tabela11121252629[[#This Row],[Séries ]]*Tabela11121252629[[#This Row],[Repetições]]*Tabela11121252629[[#This Row],[Carga (kg)]]</f>
        <v>0</v>
      </c>
    </row>
    <row r="47" spans="1:9" x14ac:dyDescent="0.25">
      <c r="A47" s="1" t="s">
        <v>108</v>
      </c>
      <c r="B47" s="1">
        <v>2</v>
      </c>
      <c r="C47" s="1">
        <v>12</v>
      </c>
      <c r="D47" s="2">
        <v>8.4722222222222213E-2</v>
      </c>
      <c r="E47" s="1">
        <v>90</v>
      </c>
      <c r="F47" s="8" t="s">
        <v>114</v>
      </c>
      <c r="G47" s="1" t="s">
        <v>106</v>
      </c>
      <c r="H47" s="1"/>
      <c r="I47" s="1">
        <f>Tabela11121252629[[#This Row],[Séries ]]*Tabela11121252629[[#This Row],[Repetições]]*Tabela11121252629[[#This Row],[Carga (kg)]]</f>
        <v>0</v>
      </c>
    </row>
    <row r="48" spans="1:9" x14ac:dyDescent="0.25">
      <c r="A48" s="1" t="s">
        <v>85</v>
      </c>
      <c r="B48" s="1">
        <v>2</v>
      </c>
      <c r="C48" s="1">
        <v>10</v>
      </c>
      <c r="D48" s="2">
        <v>8.4722222222222213E-2</v>
      </c>
      <c r="E48" s="1">
        <v>90</v>
      </c>
      <c r="F48" s="8" t="s">
        <v>42</v>
      </c>
      <c r="G48" s="1" t="s">
        <v>106</v>
      </c>
      <c r="H48" s="1"/>
      <c r="I48" s="1">
        <f>Tabela11121252629[[#This Row],[Séries ]]*Tabela11121252629[[#This Row],[Repetições]]*Tabela11121252629[[#This Row],[Carga (kg)]]</f>
        <v>0</v>
      </c>
    </row>
    <row r="49" spans="1:9" x14ac:dyDescent="0.25">
      <c r="A49" s="1" t="s">
        <v>109</v>
      </c>
      <c r="B49" s="1">
        <v>2</v>
      </c>
      <c r="C49" s="1">
        <v>8</v>
      </c>
      <c r="D49" s="2">
        <v>8.4722222222222213E-2</v>
      </c>
      <c r="E49" s="1">
        <v>90</v>
      </c>
      <c r="F49" s="8" t="s">
        <v>114</v>
      </c>
      <c r="G49" s="1" t="s">
        <v>106</v>
      </c>
      <c r="I49" s="1">
        <f>Tabela11121252629[[#This Row],[Séries ]]*Tabela11121252629[[#This Row],[Repetições]]*Tabela11121252629[[#This Row],[Carga (kg)]]</f>
        <v>0</v>
      </c>
    </row>
    <row r="50" spans="1:9" x14ac:dyDescent="0.25">
      <c r="A50" s="1" t="s">
        <v>110</v>
      </c>
      <c r="B50" s="1">
        <v>2</v>
      </c>
      <c r="C50" s="1">
        <v>8</v>
      </c>
      <c r="D50" s="2">
        <v>8.4722222222222213E-2</v>
      </c>
      <c r="E50" s="1">
        <v>90</v>
      </c>
      <c r="F50" s="8" t="s">
        <v>114</v>
      </c>
      <c r="G50" s="1" t="s">
        <v>106</v>
      </c>
      <c r="I50" s="1">
        <f>Tabela11121252629[[#This Row],[Séries ]]*Tabela11121252629[[#This Row],[Repetições]]*Tabela11121252629[[#This Row],[Carga (kg)]]</f>
        <v>0</v>
      </c>
    </row>
    <row r="51" spans="1:9" x14ac:dyDescent="0.25">
      <c r="A51" s="1" t="s">
        <v>111</v>
      </c>
      <c r="B51" s="1">
        <v>2</v>
      </c>
      <c r="C51" s="1">
        <v>10</v>
      </c>
      <c r="D51" s="2">
        <v>8.4722222222222213E-2</v>
      </c>
      <c r="E51" s="1">
        <v>90</v>
      </c>
      <c r="F51" s="8" t="s">
        <v>113</v>
      </c>
      <c r="G51" s="1" t="s">
        <v>106</v>
      </c>
      <c r="H51" s="1"/>
      <c r="I51" s="1">
        <f>Tabela11121252629[[#This Row],[Séries ]]*Tabela11121252629[[#This Row],[Repetições]]*Tabela11121252629[[#This Row],[Carga (kg)]]</f>
        <v>0</v>
      </c>
    </row>
    <row r="52" spans="1:9" ht="15.75" thickBot="1" x14ac:dyDescent="0.3">
      <c r="A52" s="1" t="s">
        <v>112</v>
      </c>
      <c r="B52" s="1">
        <v>2</v>
      </c>
      <c r="C52" s="1">
        <v>10</v>
      </c>
      <c r="D52" s="2">
        <v>8.4722222222222213E-2</v>
      </c>
      <c r="E52" s="1">
        <v>90</v>
      </c>
      <c r="F52" s="8" t="s">
        <v>113</v>
      </c>
      <c r="G52" s="1" t="s">
        <v>106</v>
      </c>
      <c r="H52" s="1"/>
      <c r="I52" s="1">
        <f>Tabela11121252629[[#This Row],[Séries ]]*Tabela11121252629[[#This Row],[Repetições]]*Tabela11121252629[[#This Row],[Carga (kg)]]</f>
        <v>0</v>
      </c>
    </row>
    <row r="53" spans="1:9" x14ac:dyDescent="0.25">
      <c r="A53" s="1" t="s">
        <v>8</v>
      </c>
      <c r="B53" s="1" t="s">
        <v>10</v>
      </c>
      <c r="C53" s="1" t="s">
        <v>9</v>
      </c>
      <c r="E53" s="13" t="s">
        <v>14</v>
      </c>
      <c r="F53" s="14"/>
    </row>
    <row r="54" spans="1:9" ht="15.75" thickBot="1" x14ac:dyDescent="0.3">
      <c r="A54" s="1"/>
      <c r="B54" s="1"/>
      <c r="C54" s="1">
        <f>Tabela21424272830[[#This Row],[Percepção Subjetiva de Esforço]]*Tabela21424272830[[#This Row],[Tempo da sessão em minutos  ]]</f>
        <v>0</v>
      </c>
      <c r="E54" s="10">
        <f>I46+I47+I48+I50+I49+I51+I52</f>
        <v>0</v>
      </c>
      <c r="F54" s="11"/>
    </row>
  </sheetData>
  <mergeCells count="12">
    <mergeCell ref="E54:F54"/>
    <mergeCell ref="A1:G1"/>
    <mergeCell ref="E11:F11"/>
    <mergeCell ref="E12:F12"/>
    <mergeCell ref="A16:G16"/>
    <mergeCell ref="E25:F25"/>
    <mergeCell ref="E26:F26"/>
    <mergeCell ref="A30:I30"/>
    <mergeCell ref="E39:F39"/>
    <mergeCell ref="E40:F40"/>
    <mergeCell ref="A44:I44"/>
    <mergeCell ref="E53:F5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tableParts count="8"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E1A0-51E5-4FA7-AEC0-5D43869C5BC1}">
  <dimension ref="A1:I53"/>
  <sheetViews>
    <sheetView topLeftCell="A37" workbookViewId="0">
      <selection activeCell="A45" sqref="A45:G51"/>
    </sheetView>
  </sheetViews>
  <sheetFormatPr defaultRowHeight="15" x14ac:dyDescent="0.25"/>
  <cols>
    <col min="1" max="1" width="37.7109375" bestFit="1" customWidth="1"/>
    <col min="2" max="2" width="33" bestFit="1" customWidth="1"/>
    <col min="3" max="3" width="24.42578125" bestFit="1" customWidth="1"/>
    <col min="4" max="5" width="14" bestFit="1" customWidth="1"/>
    <col min="6" max="6" width="21.5703125" bestFit="1" customWidth="1"/>
    <col min="7" max="7" width="27.5703125" bestFit="1" customWidth="1"/>
    <col min="8" max="8" width="14.28515625" bestFit="1" customWidth="1"/>
    <col min="9" max="9" width="9.7109375" bestFit="1" customWidth="1"/>
  </cols>
  <sheetData>
    <row r="1" spans="1:9" x14ac:dyDescent="0.25">
      <c r="A1" s="12" t="s">
        <v>58</v>
      </c>
      <c r="B1" s="12"/>
      <c r="C1" s="12"/>
      <c r="D1" s="12"/>
      <c r="E1" s="12"/>
      <c r="F1" s="12"/>
      <c r="G1" s="12"/>
    </row>
    <row r="2" spans="1:9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13</v>
      </c>
    </row>
    <row r="3" spans="1:9" x14ac:dyDescent="0.25">
      <c r="A3" s="1" t="s">
        <v>82</v>
      </c>
      <c r="B3" s="1">
        <v>3</v>
      </c>
      <c r="C3" s="1">
        <v>20</v>
      </c>
      <c r="D3" s="2">
        <v>8.4722222222222213E-2</v>
      </c>
      <c r="E3" s="1">
        <v>90</v>
      </c>
      <c r="F3" s="9" t="s">
        <v>42</v>
      </c>
      <c r="G3" s="1"/>
      <c r="H3" s="1"/>
      <c r="I3" s="1">
        <f>Tabela1112140484149[[#This Row],[Séries ]]*Tabela1112140484149[[#This Row],[Repetições]]*Tabela1112140484149[[#This Row],[Carga (kg)]]</f>
        <v>0</v>
      </c>
    </row>
    <row r="4" spans="1:9" x14ac:dyDescent="0.25">
      <c r="A4" s="1" t="s">
        <v>115</v>
      </c>
      <c r="B4" s="1">
        <v>3</v>
      </c>
      <c r="C4" s="1">
        <v>8</v>
      </c>
      <c r="D4" s="2">
        <v>8.4722222222222213E-2</v>
      </c>
      <c r="E4" s="1">
        <v>90</v>
      </c>
      <c r="F4" s="9" t="s">
        <v>65</v>
      </c>
      <c r="G4" s="1"/>
      <c r="H4" s="1"/>
      <c r="I4" s="1">
        <f>Tabela1112140484149[[#This Row],[Séries ]]*Tabela1112140484149[[#This Row],[Repetições]]*Tabela1112140484149[[#This Row],[Carga (kg)]]</f>
        <v>0</v>
      </c>
    </row>
    <row r="5" spans="1:9" x14ac:dyDescent="0.25">
      <c r="A5" s="1" t="s">
        <v>116</v>
      </c>
      <c r="B5" s="45">
        <v>2</v>
      </c>
      <c r="C5" s="45">
        <v>4</v>
      </c>
      <c r="D5" s="2">
        <v>8.4722222222222213E-2</v>
      </c>
      <c r="E5" s="1">
        <v>90</v>
      </c>
      <c r="F5" s="9" t="s">
        <v>42</v>
      </c>
      <c r="G5" s="1" t="s">
        <v>88</v>
      </c>
      <c r="H5" s="1"/>
      <c r="I5" s="1">
        <f>Tabela1112140484149[[#This Row],[Séries ]]*Tabela1112140484149[[#This Row],[Repetições]]*Tabela1112140484149[[#This Row],[Carga (kg)]]</f>
        <v>0</v>
      </c>
    </row>
    <row r="6" spans="1:9" x14ac:dyDescent="0.25">
      <c r="A6" s="1" t="s">
        <v>117</v>
      </c>
      <c r="B6" s="1">
        <v>4</v>
      </c>
      <c r="C6" s="1">
        <v>10</v>
      </c>
      <c r="D6" s="2">
        <v>8.4722222222222213E-2</v>
      </c>
      <c r="E6" s="1">
        <v>90</v>
      </c>
      <c r="F6" s="9" t="s">
        <v>42</v>
      </c>
      <c r="G6" s="1"/>
      <c r="H6" s="1"/>
      <c r="I6" s="1">
        <f>Tabela1112140484149[[#This Row],[Séries ]]*Tabela1112140484149[[#This Row],[Repetições]]*Tabela1112140484149[[#This Row],[Carga (kg)]]</f>
        <v>0</v>
      </c>
    </row>
    <row r="7" spans="1:9" x14ac:dyDescent="0.25">
      <c r="A7" s="1" t="s">
        <v>118</v>
      </c>
      <c r="B7" s="45">
        <v>2</v>
      </c>
      <c r="C7" s="45">
        <v>6</v>
      </c>
      <c r="D7" s="2">
        <v>8.4722222222222213E-2</v>
      </c>
      <c r="E7" s="1">
        <v>90</v>
      </c>
      <c r="F7" s="9" t="s">
        <v>42</v>
      </c>
      <c r="G7" s="1" t="s">
        <v>88</v>
      </c>
      <c r="H7" s="1"/>
      <c r="I7" s="1">
        <f>Tabela1112140484149[[#This Row],[Séries ]]*Tabela1112140484149[[#This Row],[Repetições]]*Tabela1112140484149[[#This Row],[Carga (kg)]]</f>
        <v>0</v>
      </c>
    </row>
    <row r="8" spans="1:9" x14ac:dyDescent="0.25">
      <c r="A8" s="1" t="s">
        <v>119</v>
      </c>
      <c r="B8" s="1">
        <v>3</v>
      </c>
      <c r="C8" s="1">
        <v>10</v>
      </c>
      <c r="D8" s="2">
        <v>8.4722222222222213E-2</v>
      </c>
      <c r="E8" s="1">
        <v>90</v>
      </c>
      <c r="F8" s="9" t="s">
        <v>12</v>
      </c>
      <c r="G8" s="1"/>
      <c r="H8" s="1"/>
      <c r="I8" s="1">
        <f>Tabela1112140484149[[#This Row],[Séries ]]*Tabela1112140484149[[#This Row],[Repetições]]*Tabela1112140484149[[#This Row],[Carga (kg)]]</f>
        <v>0</v>
      </c>
    </row>
    <row r="9" spans="1:9" ht="15.75" thickBot="1" x14ac:dyDescent="0.3">
      <c r="A9" s="1" t="s">
        <v>73</v>
      </c>
      <c r="B9" s="1">
        <v>3</v>
      </c>
      <c r="C9" s="1">
        <v>15</v>
      </c>
      <c r="D9" s="2">
        <v>8.4722222222222213E-2</v>
      </c>
      <c r="E9" s="1">
        <v>90</v>
      </c>
      <c r="F9" s="9" t="s">
        <v>12</v>
      </c>
      <c r="G9" s="1"/>
      <c r="H9" s="1"/>
      <c r="I9" s="1">
        <f>Tabela1112140484149[[#This Row],[Séries ]]*Tabela1112140484149[[#This Row],[Repetições]]*Tabela1112140484149[[#This Row],[Carga (kg)]]</f>
        <v>0</v>
      </c>
    </row>
    <row r="10" spans="1:9" x14ac:dyDescent="0.25">
      <c r="A10" s="1" t="s">
        <v>8</v>
      </c>
      <c r="B10" s="1" t="s">
        <v>10</v>
      </c>
      <c r="C10" s="1" t="s">
        <v>9</v>
      </c>
      <c r="E10" s="13" t="s">
        <v>11</v>
      </c>
      <c r="F10" s="14"/>
    </row>
    <row r="11" spans="1:9" ht="15.75" thickBot="1" x14ac:dyDescent="0.3">
      <c r="A11" s="1"/>
      <c r="B11" s="1"/>
      <c r="C11" s="1">
        <f>Tabela214242219542[[#This Row],[Percepção Subjetiva de Esforço]]*Tabela214242219542[[#This Row],[Tempo da sessão em minutos  ]]</f>
        <v>0</v>
      </c>
      <c r="E11" s="10">
        <f>I3+I4+I5+I6+I7+I8</f>
        <v>0</v>
      </c>
      <c r="F11" s="11"/>
    </row>
    <row r="13" spans="1:9" x14ac:dyDescent="0.25">
      <c r="A13" s="3"/>
      <c r="B13" s="3"/>
      <c r="C13" s="3"/>
      <c r="D13" s="3"/>
      <c r="E13" s="3"/>
      <c r="F13" s="3"/>
      <c r="G13" s="3"/>
      <c r="H13" s="3"/>
      <c r="I13" s="3"/>
    </row>
    <row r="15" spans="1:9" x14ac:dyDescent="0.25">
      <c r="A15" s="12" t="s">
        <v>59</v>
      </c>
      <c r="B15" s="12"/>
      <c r="C15" s="12"/>
      <c r="D15" s="12"/>
      <c r="E15" s="12"/>
      <c r="F15" s="12"/>
      <c r="G15" s="12"/>
    </row>
    <row r="16" spans="1:9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13</v>
      </c>
    </row>
    <row r="17" spans="1:9" x14ac:dyDescent="0.25">
      <c r="A17" s="1" t="s">
        <v>82</v>
      </c>
      <c r="B17" s="1">
        <v>3</v>
      </c>
      <c r="C17" s="1">
        <v>20</v>
      </c>
      <c r="D17" s="2">
        <v>8.4722222222222213E-2</v>
      </c>
      <c r="E17" s="1">
        <v>90</v>
      </c>
      <c r="F17" s="9" t="s">
        <v>42</v>
      </c>
      <c r="G17" s="1"/>
      <c r="H17" s="1"/>
      <c r="I17" s="1">
        <f>Tabela111212538463947[[#This Row],[Séries ]]*Tabela111212538463947[[#This Row],[Repetições]]*Tabela111212538463947[[#This Row],[Carga (kg)]]</f>
        <v>0</v>
      </c>
    </row>
    <row r="18" spans="1:9" x14ac:dyDescent="0.25">
      <c r="A18" s="1" t="s">
        <v>115</v>
      </c>
      <c r="B18" s="1">
        <v>3</v>
      </c>
      <c r="C18" s="1">
        <v>8</v>
      </c>
      <c r="D18" s="2">
        <v>8.4722222222222213E-2</v>
      </c>
      <c r="E18" s="1">
        <v>90</v>
      </c>
      <c r="F18" s="9" t="s">
        <v>65</v>
      </c>
      <c r="G18" s="1"/>
      <c r="H18" s="1"/>
      <c r="I18" s="1">
        <f>Tabela111212538463947[[#This Row],[Séries ]]*Tabela111212538463947[[#This Row],[Repetições]]*Tabela111212538463947[[#This Row],[Carga (kg)]]</f>
        <v>0</v>
      </c>
    </row>
    <row r="19" spans="1:9" x14ac:dyDescent="0.25">
      <c r="A19" s="1" t="s">
        <v>116</v>
      </c>
      <c r="B19" s="45">
        <v>2</v>
      </c>
      <c r="C19" s="45">
        <v>4</v>
      </c>
      <c r="D19" s="2">
        <v>8.4722222222222213E-2</v>
      </c>
      <c r="E19" s="1">
        <v>90</v>
      </c>
      <c r="F19" s="9" t="s">
        <v>42</v>
      </c>
      <c r="G19" s="1" t="s">
        <v>88</v>
      </c>
      <c r="H19" s="1"/>
      <c r="I19" s="1">
        <f>Tabela111212538463947[[#This Row],[Séries ]]*Tabela111212538463947[[#This Row],[Repetições]]*Tabela111212538463947[[#This Row],[Carga (kg)]]</f>
        <v>0</v>
      </c>
    </row>
    <row r="20" spans="1:9" x14ac:dyDescent="0.25">
      <c r="A20" s="1" t="s">
        <v>117</v>
      </c>
      <c r="B20" s="1">
        <v>4</v>
      </c>
      <c r="C20" s="1">
        <v>10</v>
      </c>
      <c r="D20" s="2">
        <v>8.4722222222222213E-2</v>
      </c>
      <c r="E20" s="1">
        <v>90</v>
      </c>
      <c r="F20" s="9" t="s">
        <v>42</v>
      </c>
      <c r="G20" s="1"/>
      <c r="H20" s="1"/>
      <c r="I20" s="1">
        <f>Tabela111212538463947[[#This Row],[Séries ]]*Tabela111212538463947[[#This Row],[Repetições]]*Tabela111212538463947[[#This Row],[Carga (kg)]]</f>
        <v>0</v>
      </c>
    </row>
    <row r="21" spans="1:9" x14ac:dyDescent="0.25">
      <c r="A21" s="1" t="s">
        <v>118</v>
      </c>
      <c r="B21" s="45">
        <v>2</v>
      </c>
      <c r="C21" s="45">
        <v>6</v>
      </c>
      <c r="D21" s="2">
        <v>8.4722222222222213E-2</v>
      </c>
      <c r="E21" s="1">
        <v>90</v>
      </c>
      <c r="F21" s="9" t="s">
        <v>42</v>
      </c>
      <c r="G21" s="1" t="s">
        <v>88</v>
      </c>
      <c r="H21" s="1"/>
      <c r="I21" s="1">
        <f>Tabela111212538463947[[#This Row],[Séries ]]*Tabela111212538463947[[#This Row],[Repetições]]*Tabela111212538463947[[#This Row],[Carga (kg)]]</f>
        <v>0</v>
      </c>
    </row>
    <row r="22" spans="1:9" x14ac:dyDescent="0.25">
      <c r="A22" s="1" t="s">
        <v>119</v>
      </c>
      <c r="B22" s="1">
        <v>3</v>
      </c>
      <c r="C22" s="1">
        <v>10</v>
      </c>
      <c r="D22" s="2">
        <v>8.4722222222222213E-2</v>
      </c>
      <c r="E22" s="1">
        <v>90</v>
      </c>
      <c r="F22" s="9" t="s">
        <v>12</v>
      </c>
      <c r="G22" s="1"/>
      <c r="H22" s="1"/>
      <c r="I22" s="1">
        <f>Tabela111212538463947[[#This Row],[Séries ]]*Tabela111212538463947[[#This Row],[Repetições]]*Tabela111212538463947[[#This Row],[Carga (kg)]]</f>
        <v>0</v>
      </c>
    </row>
    <row r="23" spans="1:9" ht="15.75" thickBot="1" x14ac:dyDescent="0.3">
      <c r="A23" s="1" t="s">
        <v>73</v>
      </c>
      <c r="B23" s="1">
        <v>3</v>
      </c>
      <c r="C23" s="1">
        <v>15</v>
      </c>
      <c r="D23" s="2">
        <v>8.4722222222222213E-2</v>
      </c>
      <c r="E23" s="1">
        <v>90</v>
      </c>
      <c r="F23" s="9" t="s">
        <v>12</v>
      </c>
      <c r="G23" s="1"/>
      <c r="H23" s="1"/>
      <c r="I23" s="1">
        <f>Tabela111212538463947[[#This Row],[Séries ]]*Tabela111212538463947[[#This Row],[Repetições]]*Tabela111212538463947[[#This Row],[Carga (kg)]]</f>
        <v>0</v>
      </c>
    </row>
    <row r="24" spans="1:9" x14ac:dyDescent="0.25">
      <c r="A24" s="1" t="s">
        <v>8</v>
      </c>
      <c r="B24" s="1" t="s">
        <v>10</v>
      </c>
      <c r="C24" s="1" t="s">
        <v>9</v>
      </c>
      <c r="E24" s="13" t="s">
        <v>11</v>
      </c>
      <c r="F24" s="15"/>
    </row>
    <row r="25" spans="1:9" ht="15.75" thickBot="1" x14ac:dyDescent="0.3">
      <c r="A25" s="1"/>
      <c r="B25" s="1"/>
      <c r="C25" s="1">
        <f>Tabela214242739474048[[#This Row],[Percepção Subjetiva de Esforço]]*Tabela214242739474048[[#This Row],[Tempo da sessão em minutos  ]]</f>
        <v>0</v>
      </c>
      <c r="E25" s="10">
        <f>I17+I18+I19+I20+I21+I22</f>
        <v>0</v>
      </c>
      <c r="F25" s="11"/>
    </row>
    <row r="27" spans="1:9" x14ac:dyDescent="0.25">
      <c r="A27" s="3"/>
      <c r="B27" s="3"/>
      <c r="C27" s="3"/>
      <c r="D27" s="3"/>
      <c r="E27" s="3"/>
      <c r="F27" s="3"/>
      <c r="G27" s="3"/>
      <c r="H27" s="3"/>
      <c r="I27" s="3"/>
    </row>
    <row r="29" spans="1:9" x14ac:dyDescent="0.25">
      <c r="A29" s="12" t="s">
        <v>60</v>
      </c>
      <c r="B29" s="12"/>
      <c r="C29" s="12"/>
      <c r="D29" s="12"/>
      <c r="E29" s="12"/>
      <c r="F29" s="12"/>
      <c r="G29" s="12"/>
    </row>
    <row r="30" spans="1:9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13</v>
      </c>
    </row>
    <row r="31" spans="1:9" x14ac:dyDescent="0.25">
      <c r="A31" s="1" t="s">
        <v>82</v>
      </c>
      <c r="B31" s="1">
        <v>3</v>
      </c>
      <c r="C31" s="1">
        <v>20</v>
      </c>
      <c r="D31" s="2">
        <v>8.4722222222222213E-2</v>
      </c>
      <c r="E31" s="1">
        <v>90</v>
      </c>
      <c r="F31" s="9" t="s">
        <v>42</v>
      </c>
      <c r="G31" s="1"/>
      <c r="H31" s="1"/>
      <c r="I31" s="1">
        <f>Tabela11121253846394750[[#This Row],[Séries ]]*Tabela11121253846394750[[#This Row],[Repetições]]*Tabela11121253846394750[[#This Row],[Carga (kg)]]</f>
        <v>0</v>
      </c>
    </row>
    <row r="32" spans="1:9" x14ac:dyDescent="0.25">
      <c r="A32" s="1" t="s">
        <v>115</v>
      </c>
      <c r="B32" s="1">
        <v>3</v>
      </c>
      <c r="C32" s="1">
        <v>8</v>
      </c>
      <c r="D32" s="2">
        <v>8.4722222222222213E-2</v>
      </c>
      <c r="E32" s="1">
        <v>90</v>
      </c>
      <c r="F32" s="9" t="s">
        <v>65</v>
      </c>
      <c r="G32" s="1"/>
      <c r="H32" s="1"/>
      <c r="I32" s="1">
        <f>Tabela11121253846394750[[#This Row],[Séries ]]*Tabela11121253846394750[[#This Row],[Repetições]]*Tabela11121253846394750[[#This Row],[Carga (kg)]]</f>
        <v>0</v>
      </c>
    </row>
    <row r="33" spans="1:9" x14ac:dyDescent="0.25">
      <c r="A33" s="1" t="s">
        <v>116</v>
      </c>
      <c r="B33" s="45">
        <v>2</v>
      </c>
      <c r="C33" s="45">
        <v>4</v>
      </c>
      <c r="D33" s="2">
        <v>8.4722222222222213E-2</v>
      </c>
      <c r="E33" s="1">
        <v>90</v>
      </c>
      <c r="F33" s="9" t="s">
        <v>42</v>
      </c>
      <c r="G33" s="1" t="s">
        <v>88</v>
      </c>
      <c r="H33" s="1"/>
      <c r="I33" s="1">
        <f>Tabela11121253846394750[[#This Row],[Séries ]]*Tabela11121253846394750[[#This Row],[Repetições]]*Tabela11121253846394750[[#This Row],[Carga (kg)]]</f>
        <v>0</v>
      </c>
    </row>
    <row r="34" spans="1:9" x14ac:dyDescent="0.25">
      <c r="A34" s="1" t="s">
        <v>117</v>
      </c>
      <c r="B34" s="1">
        <v>4</v>
      </c>
      <c r="C34" s="1">
        <v>10</v>
      </c>
      <c r="D34" s="2">
        <v>8.4722222222222213E-2</v>
      </c>
      <c r="E34" s="1">
        <v>90</v>
      </c>
      <c r="F34" s="9" t="s">
        <v>42</v>
      </c>
      <c r="G34" s="1"/>
      <c r="H34" s="1"/>
      <c r="I34" s="1">
        <f>Tabela11121253846394750[[#This Row],[Séries ]]*Tabela11121253846394750[[#This Row],[Repetições]]*Tabela11121253846394750[[#This Row],[Carga (kg)]]</f>
        <v>0</v>
      </c>
    </row>
    <row r="35" spans="1:9" x14ac:dyDescent="0.25">
      <c r="A35" s="1" t="s">
        <v>118</v>
      </c>
      <c r="B35" s="45">
        <v>2</v>
      </c>
      <c r="C35" s="45">
        <v>6</v>
      </c>
      <c r="D35" s="2">
        <v>8.4722222222222213E-2</v>
      </c>
      <c r="E35" s="1">
        <v>90</v>
      </c>
      <c r="F35" s="9" t="s">
        <v>42</v>
      </c>
      <c r="G35" s="1" t="s">
        <v>88</v>
      </c>
      <c r="H35" s="1"/>
      <c r="I35" s="1">
        <f>Tabela11121253846394750[[#This Row],[Séries ]]*Tabela11121253846394750[[#This Row],[Repetições]]*Tabela11121253846394750[[#This Row],[Carga (kg)]]</f>
        <v>0</v>
      </c>
    </row>
    <row r="36" spans="1:9" x14ac:dyDescent="0.25">
      <c r="A36" s="1" t="s">
        <v>119</v>
      </c>
      <c r="B36" s="1">
        <v>3</v>
      </c>
      <c r="C36" s="1">
        <v>10</v>
      </c>
      <c r="D36" s="2">
        <v>8.4722222222222213E-2</v>
      </c>
      <c r="E36" s="1">
        <v>90</v>
      </c>
      <c r="F36" s="9" t="s">
        <v>12</v>
      </c>
      <c r="G36" s="1"/>
      <c r="H36" s="1"/>
      <c r="I36" s="1">
        <f>Tabela11121253846394750[[#This Row],[Séries ]]*Tabela11121253846394750[[#This Row],[Repetições]]*Tabela11121253846394750[[#This Row],[Carga (kg)]]</f>
        <v>0</v>
      </c>
    </row>
    <row r="37" spans="1:9" ht="15.75" thickBot="1" x14ac:dyDescent="0.3">
      <c r="A37" s="1" t="s">
        <v>73</v>
      </c>
      <c r="B37" s="1">
        <v>3</v>
      </c>
      <c r="C37" s="1">
        <v>15</v>
      </c>
      <c r="D37" s="2">
        <v>8.4722222222222213E-2</v>
      </c>
      <c r="E37" s="1">
        <v>90</v>
      </c>
      <c r="F37" s="9" t="s">
        <v>12</v>
      </c>
      <c r="G37" s="1"/>
      <c r="H37" s="1"/>
      <c r="I37" s="1">
        <f>Tabela11121253846394750[[#This Row],[Séries ]]*Tabela11121253846394750[[#This Row],[Repetições]]*Tabela11121253846394750[[#This Row],[Carga (kg)]]</f>
        <v>0</v>
      </c>
    </row>
    <row r="38" spans="1:9" x14ac:dyDescent="0.25">
      <c r="A38" s="1" t="s">
        <v>8</v>
      </c>
      <c r="B38" s="1" t="s">
        <v>10</v>
      </c>
      <c r="C38" s="1" t="s">
        <v>9</v>
      </c>
      <c r="E38" s="13" t="s">
        <v>11</v>
      </c>
      <c r="F38" s="15"/>
    </row>
    <row r="39" spans="1:9" ht="15.75" thickBot="1" x14ac:dyDescent="0.3">
      <c r="A39" s="1"/>
      <c r="B39" s="1"/>
      <c r="C39" s="1">
        <f>Tabela21424272831431244[[#This Row],[Percepção Subjetiva de Esforço]]*Tabela21424272831431244[[#This Row],[Tempo da sessão em minutos  ]]</f>
        <v>0</v>
      </c>
      <c r="E39" s="10">
        <f>I31+I32+I33+I34+I35+I36</f>
        <v>0</v>
      </c>
      <c r="F39" s="11"/>
    </row>
    <row r="41" spans="1:9" x14ac:dyDescent="0.25">
      <c r="A41" s="3"/>
      <c r="B41" s="3"/>
      <c r="C41" s="3"/>
      <c r="D41" s="3"/>
      <c r="E41" s="3"/>
      <c r="F41" s="3"/>
      <c r="G41" s="3"/>
      <c r="H41" s="3"/>
      <c r="I41" s="3"/>
    </row>
    <row r="43" spans="1:9" x14ac:dyDescent="0.25">
      <c r="A43" s="12" t="s">
        <v>61</v>
      </c>
      <c r="B43" s="12"/>
      <c r="C43" s="12"/>
      <c r="D43" s="12"/>
      <c r="E43" s="12"/>
      <c r="F43" s="12"/>
      <c r="G43" s="12"/>
      <c r="H43" s="12"/>
      <c r="I43" s="12"/>
    </row>
    <row r="44" spans="1:9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13</v>
      </c>
    </row>
    <row r="45" spans="1:9" x14ac:dyDescent="0.25">
      <c r="A45" s="1" t="s">
        <v>82</v>
      </c>
      <c r="B45" s="1">
        <v>3</v>
      </c>
      <c r="C45" s="1">
        <v>20</v>
      </c>
      <c r="D45" s="2">
        <v>8.4722222222222213E-2</v>
      </c>
      <c r="E45" s="1">
        <v>90</v>
      </c>
      <c r="F45" s="9" t="s">
        <v>42</v>
      </c>
      <c r="G45" s="1"/>
      <c r="H45" s="1"/>
      <c r="I45" s="1">
        <f>Tabela1112125262936443745[[#This Row],[Séries ]]*Tabela1112125262936443745[[#This Row],[Repetições]]*Tabela1112125262936443745[[#This Row],[Carga (kg)]]</f>
        <v>0</v>
      </c>
    </row>
    <row r="46" spans="1:9" x14ac:dyDescent="0.25">
      <c r="A46" s="1" t="s">
        <v>115</v>
      </c>
      <c r="B46" s="1">
        <v>3</v>
      </c>
      <c r="C46" s="1">
        <v>8</v>
      </c>
      <c r="D46" s="2">
        <v>8.4722222222222213E-2</v>
      </c>
      <c r="E46" s="1">
        <v>90</v>
      </c>
      <c r="F46" s="9" t="s">
        <v>65</v>
      </c>
      <c r="G46" s="1"/>
      <c r="H46" s="1"/>
      <c r="I46" s="1">
        <f>Tabela1112125262936443745[[#This Row],[Séries ]]*Tabela1112125262936443745[[#This Row],[Repetições]]*Tabela1112125262936443745[[#This Row],[Carga (kg)]]</f>
        <v>0</v>
      </c>
    </row>
    <row r="47" spans="1:9" x14ac:dyDescent="0.25">
      <c r="A47" s="1" t="s">
        <v>116</v>
      </c>
      <c r="B47" s="45">
        <v>2</v>
      </c>
      <c r="C47" s="45">
        <v>4</v>
      </c>
      <c r="D47" s="2">
        <v>8.4722222222222213E-2</v>
      </c>
      <c r="E47" s="1">
        <v>90</v>
      </c>
      <c r="F47" s="9" t="s">
        <v>42</v>
      </c>
      <c r="G47" s="1" t="s">
        <v>88</v>
      </c>
      <c r="H47" s="1"/>
      <c r="I47" s="1">
        <f>Tabela1112125262936443745[[#This Row],[Séries ]]*Tabela1112125262936443745[[#This Row],[Repetições]]*Tabela1112125262936443745[[#This Row],[Carga (kg)]]</f>
        <v>0</v>
      </c>
    </row>
    <row r="48" spans="1:9" x14ac:dyDescent="0.25">
      <c r="A48" s="1" t="s">
        <v>117</v>
      </c>
      <c r="B48" s="1">
        <v>4</v>
      </c>
      <c r="C48" s="1">
        <v>10</v>
      </c>
      <c r="D48" s="2">
        <v>8.4722222222222213E-2</v>
      </c>
      <c r="E48" s="1">
        <v>90</v>
      </c>
      <c r="F48" s="9" t="s">
        <v>42</v>
      </c>
      <c r="G48" s="1"/>
      <c r="H48" s="1"/>
      <c r="I48" s="1">
        <f>Tabela1112125262936443745[[#This Row],[Séries ]]*Tabela1112125262936443745[[#This Row],[Repetições]]*Tabela1112125262936443745[[#This Row],[Carga (kg)]]</f>
        <v>0</v>
      </c>
    </row>
    <row r="49" spans="1:9" x14ac:dyDescent="0.25">
      <c r="A49" s="1" t="s">
        <v>118</v>
      </c>
      <c r="B49" s="45">
        <v>2</v>
      </c>
      <c r="C49" s="45">
        <v>6</v>
      </c>
      <c r="D49" s="2">
        <v>8.4722222222222213E-2</v>
      </c>
      <c r="E49" s="1">
        <v>90</v>
      </c>
      <c r="F49" s="9" t="s">
        <v>42</v>
      </c>
      <c r="G49" s="1" t="s">
        <v>88</v>
      </c>
      <c r="H49" s="1"/>
      <c r="I49" s="1">
        <f>Tabela1112125262936443745[[#This Row],[Séries ]]*Tabela1112125262936443745[[#This Row],[Repetições]]*Tabela1112125262936443745[[#This Row],[Carga (kg)]]</f>
        <v>0</v>
      </c>
    </row>
    <row r="50" spans="1:9" x14ac:dyDescent="0.25">
      <c r="A50" s="1" t="s">
        <v>119</v>
      </c>
      <c r="B50" s="1">
        <v>3</v>
      </c>
      <c r="C50" s="1">
        <v>10</v>
      </c>
      <c r="D50" s="2">
        <v>8.4722222222222213E-2</v>
      </c>
      <c r="E50" s="1">
        <v>90</v>
      </c>
      <c r="F50" s="9" t="s">
        <v>12</v>
      </c>
      <c r="G50" s="1"/>
      <c r="H50" s="1"/>
      <c r="I50" s="1">
        <f>Tabela1112125262936443745[[#This Row],[Séries ]]*Tabela1112125262936443745[[#This Row],[Repetições]]*Tabela1112125262936443745[[#This Row],[Carga (kg)]]</f>
        <v>0</v>
      </c>
    </row>
    <row r="51" spans="1:9" ht="15.75" thickBot="1" x14ac:dyDescent="0.3">
      <c r="A51" s="1" t="s">
        <v>73</v>
      </c>
      <c r="B51" s="1">
        <v>3</v>
      </c>
      <c r="C51" s="1">
        <v>15</v>
      </c>
      <c r="D51" s="2">
        <v>8.4722222222222213E-2</v>
      </c>
      <c r="E51" s="1">
        <v>90</v>
      </c>
      <c r="F51" s="9" t="s">
        <v>12</v>
      </c>
      <c r="G51" s="1"/>
      <c r="H51" s="1"/>
      <c r="I51" s="1">
        <f>Tabela1112125262936443745[[#This Row],[Séries ]]*Tabela1112125262936443745[[#This Row],[Repetições]]*Tabela1112125262936443745[[#This Row],[Carga (kg)]]</f>
        <v>0</v>
      </c>
    </row>
    <row r="52" spans="1:9" x14ac:dyDescent="0.25">
      <c r="A52" s="1" t="s">
        <v>8</v>
      </c>
      <c r="B52" s="1" t="s">
        <v>10</v>
      </c>
      <c r="C52" s="1" t="s">
        <v>9</v>
      </c>
      <c r="E52" s="13" t="s">
        <v>14</v>
      </c>
      <c r="F52" s="15"/>
    </row>
    <row r="53" spans="1:9" ht="15.75" thickBot="1" x14ac:dyDescent="0.3">
      <c r="A53" s="1"/>
      <c r="B53" s="1"/>
      <c r="C53" s="1">
        <f>Tabela2142427283037453846[[#This Row],[Percepção Subjetiva de Esforço]]*Tabela2142427283037453846[[#This Row],[Tempo da sessão em minutos  ]]</f>
        <v>0</v>
      </c>
      <c r="E53" s="10">
        <f>I45+I46+I47+I49+I48+I50</f>
        <v>0</v>
      </c>
      <c r="F53" s="11"/>
    </row>
  </sheetData>
  <mergeCells count="12">
    <mergeCell ref="E53:F53"/>
    <mergeCell ref="A1:G1"/>
    <mergeCell ref="E10:F10"/>
    <mergeCell ref="E11:F11"/>
    <mergeCell ref="A15:G15"/>
    <mergeCell ref="E24:F24"/>
    <mergeCell ref="E25:F25"/>
    <mergeCell ref="E38:F38"/>
    <mergeCell ref="E39:F39"/>
    <mergeCell ref="A43:I43"/>
    <mergeCell ref="E52:F52"/>
    <mergeCell ref="A29:G29"/>
  </mergeCells>
  <pageMargins left="0.511811024" right="0.511811024" top="0.78740157499999996" bottom="0.78740157499999996" header="0.31496062000000002" footer="0.31496062000000002"/>
  <drawing r:id="rId1"/>
  <tableParts count="8">
    <tablePart r:id="rId2"/>
    <tablePart r:id="rId3"/>
    <tablePart r:id="rId4"/>
    <tablePart r:id="rId5"/>
    <tablePart r:id="rId6"/>
    <tablePart r:id="rId7"/>
    <tablePart r:id="rId8"/>
    <tablePart r:id="rId9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95712-610C-49F7-AE10-5BCAC484BBB2}">
  <dimension ref="A1:I30"/>
  <sheetViews>
    <sheetView tabSelected="1" workbookViewId="0">
      <selection activeCell="G25" sqref="G25:H28"/>
    </sheetView>
  </sheetViews>
  <sheetFormatPr defaultRowHeight="15" x14ac:dyDescent="0.25"/>
  <cols>
    <col min="6" max="6" width="20.140625" customWidth="1"/>
    <col min="8" max="8" width="28.28515625" customWidth="1"/>
  </cols>
  <sheetData>
    <row r="1" spans="1:9" x14ac:dyDescent="0.25">
      <c r="A1" s="27" t="s">
        <v>63</v>
      </c>
      <c r="B1" s="27"/>
      <c r="C1" s="27"/>
      <c r="D1" s="27"/>
      <c r="E1" s="27"/>
      <c r="F1" s="27"/>
      <c r="G1" s="27"/>
      <c r="H1" s="27"/>
      <c r="I1" s="1"/>
    </row>
    <row r="3" spans="1:9" x14ac:dyDescent="0.25">
      <c r="A3" s="24" t="s">
        <v>45</v>
      </c>
      <c r="B3" s="24"/>
      <c r="C3" s="24"/>
      <c r="D3" s="25" t="s">
        <v>46</v>
      </c>
      <c r="E3" s="25"/>
      <c r="F3" s="25"/>
      <c r="G3" s="26" t="s">
        <v>47</v>
      </c>
      <c r="H3" s="26"/>
    </row>
    <row r="4" spans="1:9" x14ac:dyDescent="0.25">
      <c r="A4" s="23" t="s">
        <v>62</v>
      </c>
      <c r="B4" s="23"/>
      <c r="C4" s="23"/>
      <c r="D4" s="23" t="s">
        <v>74</v>
      </c>
      <c r="E4" s="23"/>
      <c r="F4" s="23"/>
      <c r="G4" s="27"/>
      <c r="H4" s="27"/>
    </row>
    <row r="5" spans="1:9" x14ac:dyDescent="0.25">
      <c r="A5" s="23" t="s">
        <v>62</v>
      </c>
      <c r="B5" s="23"/>
      <c r="C5" s="23"/>
      <c r="D5" s="23" t="s">
        <v>75</v>
      </c>
      <c r="E5" s="23"/>
      <c r="F5" s="23"/>
      <c r="G5" s="27"/>
      <c r="H5" s="27"/>
    </row>
    <row r="6" spans="1:9" x14ac:dyDescent="0.25">
      <c r="A6" s="23" t="s">
        <v>62</v>
      </c>
      <c r="B6" s="23"/>
      <c r="C6" s="23"/>
      <c r="D6" s="23" t="s">
        <v>76</v>
      </c>
      <c r="E6" s="23"/>
      <c r="F6" s="23"/>
      <c r="G6" s="27"/>
      <c r="H6" s="27"/>
    </row>
    <row r="7" spans="1:9" x14ac:dyDescent="0.25">
      <c r="A7" s="23" t="s">
        <v>62</v>
      </c>
      <c r="B7" s="23"/>
      <c r="C7" s="23"/>
      <c r="D7" s="23" t="s">
        <v>77</v>
      </c>
      <c r="E7" s="23"/>
      <c r="F7" s="23"/>
      <c r="G7" s="27"/>
      <c r="H7" s="27"/>
    </row>
    <row r="8" spans="1:9" x14ac:dyDescent="0.25">
      <c r="A8" s="18"/>
      <c r="B8" s="18"/>
      <c r="C8" s="18"/>
      <c r="D8" s="18"/>
      <c r="E8" s="18"/>
      <c r="F8" s="18"/>
      <c r="G8" s="18"/>
      <c r="H8" s="18"/>
    </row>
    <row r="9" spans="1:9" x14ac:dyDescent="0.25">
      <c r="A9" s="17" t="s">
        <v>54</v>
      </c>
      <c r="B9" s="17"/>
      <c r="C9" s="17"/>
      <c r="D9" s="17"/>
      <c r="E9" s="17"/>
      <c r="F9" s="17"/>
      <c r="G9" s="17"/>
      <c r="H9" s="17"/>
    </row>
    <row r="12" spans="1:9" x14ac:dyDescent="0.25">
      <c r="A12" s="22" t="s">
        <v>70</v>
      </c>
      <c r="B12" s="22"/>
      <c r="C12" s="22"/>
      <c r="D12" s="22"/>
      <c r="E12" s="22"/>
      <c r="F12" s="22"/>
      <c r="G12" s="22"/>
      <c r="H12" s="22"/>
    </row>
    <row r="14" spans="1:9" x14ac:dyDescent="0.25">
      <c r="A14" s="24" t="s">
        <v>45</v>
      </c>
      <c r="B14" s="24"/>
      <c r="C14" s="24"/>
      <c r="D14" s="25" t="s">
        <v>46</v>
      </c>
      <c r="E14" s="25"/>
      <c r="F14" s="25"/>
      <c r="G14" s="26" t="s">
        <v>47</v>
      </c>
      <c r="H14" s="26"/>
    </row>
    <row r="15" spans="1:9" x14ac:dyDescent="0.25">
      <c r="A15" s="23" t="s">
        <v>48</v>
      </c>
      <c r="B15" s="23"/>
      <c r="C15" s="23"/>
      <c r="D15" s="23" t="s">
        <v>78</v>
      </c>
      <c r="E15" s="23"/>
      <c r="F15" s="23"/>
      <c r="G15" s="22"/>
      <c r="H15" s="22"/>
    </row>
    <row r="16" spans="1:9" x14ac:dyDescent="0.25">
      <c r="A16" s="23" t="s">
        <v>48</v>
      </c>
      <c r="B16" s="23"/>
      <c r="C16" s="23"/>
      <c r="D16" s="23" t="s">
        <v>79</v>
      </c>
      <c r="E16" s="23"/>
      <c r="F16" s="23"/>
      <c r="G16" s="22"/>
      <c r="H16" s="22"/>
    </row>
    <row r="17" spans="1:8" x14ac:dyDescent="0.25">
      <c r="A17" s="23" t="s">
        <v>48</v>
      </c>
      <c r="B17" s="23"/>
      <c r="C17" s="23"/>
      <c r="D17" s="23" t="s">
        <v>80</v>
      </c>
      <c r="E17" s="23"/>
      <c r="F17" s="23"/>
      <c r="G17" s="22"/>
      <c r="H17" s="22"/>
    </row>
    <row r="18" spans="1:8" x14ac:dyDescent="0.25">
      <c r="A18" s="23" t="s">
        <v>48</v>
      </c>
      <c r="B18" s="23"/>
      <c r="C18" s="23"/>
      <c r="D18" s="23" t="s">
        <v>81</v>
      </c>
      <c r="E18" s="23"/>
      <c r="F18" s="23"/>
      <c r="G18" s="22"/>
      <c r="H18" s="22"/>
    </row>
    <row r="20" spans="1:8" x14ac:dyDescent="0.25">
      <c r="A20" s="19" t="s">
        <v>54</v>
      </c>
      <c r="B20" s="19"/>
      <c r="C20" s="19"/>
      <c r="D20" s="19"/>
      <c r="E20" s="19"/>
      <c r="F20" s="19"/>
      <c r="G20" s="19"/>
      <c r="H20" s="19"/>
    </row>
    <row r="22" spans="1:8" x14ac:dyDescent="0.25">
      <c r="A22" s="46" t="s">
        <v>64</v>
      </c>
      <c r="B22" s="46"/>
      <c r="C22" s="46"/>
      <c r="D22" s="46"/>
      <c r="E22" s="46"/>
      <c r="F22" s="46"/>
      <c r="G22" s="46"/>
      <c r="H22" s="46"/>
    </row>
    <row r="24" spans="1:8" x14ac:dyDescent="0.25">
      <c r="A24" s="24" t="s">
        <v>45</v>
      </c>
      <c r="B24" s="24"/>
      <c r="C24" s="24"/>
      <c r="D24" s="25" t="s">
        <v>46</v>
      </c>
      <c r="E24" s="25"/>
      <c r="F24" s="25"/>
      <c r="G24" s="26" t="s">
        <v>47</v>
      </c>
      <c r="H24" s="26"/>
    </row>
    <row r="25" spans="1:8" x14ac:dyDescent="0.25">
      <c r="A25" s="23" t="s">
        <v>48</v>
      </c>
      <c r="B25" s="23"/>
      <c r="C25" s="23"/>
      <c r="D25" s="23" t="s">
        <v>67</v>
      </c>
      <c r="E25" s="23"/>
      <c r="F25" s="23"/>
      <c r="G25" s="46"/>
      <c r="H25" s="46"/>
    </row>
    <row r="26" spans="1:8" x14ac:dyDescent="0.25">
      <c r="A26" s="23" t="s">
        <v>48</v>
      </c>
      <c r="B26" s="23"/>
      <c r="C26" s="23"/>
      <c r="D26" s="23" t="s">
        <v>66</v>
      </c>
      <c r="E26" s="23"/>
      <c r="F26" s="23"/>
      <c r="G26" s="46"/>
      <c r="H26" s="46"/>
    </row>
    <row r="27" spans="1:8" x14ac:dyDescent="0.25">
      <c r="A27" s="23" t="s">
        <v>48</v>
      </c>
      <c r="B27" s="23"/>
      <c r="C27" s="23"/>
      <c r="D27" s="23" t="s">
        <v>68</v>
      </c>
      <c r="E27" s="23"/>
      <c r="F27" s="23"/>
      <c r="G27" s="46"/>
      <c r="H27" s="46"/>
    </row>
    <row r="28" spans="1:8" x14ac:dyDescent="0.25">
      <c r="A28" s="23" t="s">
        <v>48</v>
      </c>
      <c r="B28" s="23"/>
      <c r="C28" s="23"/>
      <c r="D28" s="23" t="s">
        <v>69</v>
      </c>
      <c r="E28" s="23"/>
      <c r="F28" s="23"/>
      <c r="G28" s="46"/>
      <c r="H28" s="46"/>
    </row>
    <row r="30" spans="1:8" x14ac:dyDescent="0.25">
      <c r="A30" s="21" t="s">
        <v>54</v>
      </c>
      <c r="B30" s="21"/>
      <c r="C30" s="21"/>
      <c r="D30" s="21"/>
      <c r="E30" s="21"/>
      <c r="F30" s="21"/>
      <c r="G30" s="21"/>
      <c r="H30" s="21"/>
    </row>
  </sheetData>
  <mergeCells count="52">
    <mergeCell ref="A30:H30"/>
    <mergeCell ref="A26:C26"/>
    <mergeCell ref="D26:F26"/>
    <mergeCell ref="G26:H26"/>
    <mergeCell ref="A27:C27"/>
    <mergeCell ref="D27:F27"/>
    <mergeCell ref="G27:H27"/>
    <mergeCell ref="A25:C25"/>
    <mergeCell ref="D25:F25"/>
    <mergeCell ref="G25:H25"/>
    <mergeCell ref="A28:C28"/>
    <mergeCell ref="D28:F28"/>
    <mergeCell ref="G28:H28"/>
    <mergeCell ref="A22:H22"/>
    <mergeCell ref="A20:H20"/>
    <mergeCell ref="G17:H17"/>
    <mergeCell ref="A24:C24"/>
    <mergeCell ref="D24:F24"/>
    <mergeCell ref="G24:H24"/>
    <mergeCell ref="A1:H1"/>
    <mergeCell ref="A3:C3"/>
    <mergeCell ref="D3:F3"/>
    <mergeCell ref="A4:C4"/>
    <mergeCell ref="D4:F4"/>
    <mergeCell ref="G3:H3"/>
    <mergeCell ref="G4:H4"/>
    <mergeCell ref="A9:H9"/>
    <mergeCell ref="A8:H8"/>
    <mergeCell ref="G5:H5"/>
    <mergeCell ref="G6:H6"/>
    <mergeCell ref="G7:H7"/>
    <mergeCell ref="A5:C5"/>
    <mergeCell ref="D5:F5"/>
    <mergeCell ref="A6:C6"/>
    <mergeCell ref="D6:F6"/>
    <mergeCell ref="A7:C7"/>
    <mergeCell ref="D7:F7"/>
    <mergeCell ref="A12:H12"/>
    <mergeCell ref="A15:C15"/>
    <mergeCell ref="D15:F15"/>
    <mergeCell ref="G18:H18"/>
    <mergeCell ref="A14:C14"/>
    <mergeCell ref="D14:F14"/>
    <mergeCell ref="G14:H14"/>
    <mergeCell ref="G15:H15"/>
    <mergeCell ref="G16:H16"/>
    <mergeCell ref="A16:C16"/>
    <mergeCell ref="D16:F16"/>
    <mergeCell ref="A17:C17"/>
    <mergeCell ref="D17:F17"/>
    <mergeCell ref="A18:C18"/>
    <mergeCell ref="D18:F18"/>
  </mergeCells>
  <phoneticPr fontId="6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B1CF5-A377-4EE7-B720-5DE2316F65A5}">
  <dimension ref="A1:P32"/>
  <sheetViews>
    <sheetView topLeftCell="A13" workbookViewId="0">
      <selection activeCell="A25" sqref="A25:P26"/>
    </sheetView>
  </sheetViews>
  <sheetFormatPr defaultRowHeight="15" x14ac:dyDescent="0.25"/>
  <cols>
    <col min="16" max="16" width="124" customWidth="1"/>
  </cols>
  <sheetData>
    <row r="1" spans="1:16" x14ac:dyDescent="0.25">
      <c r="A1" s="28" t="s">
        <v>26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</row>
    <row r="2" spans="1:16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21" customHeight="1" x14ac:dyDescent="0.25">
      <c r="A3" s="29" t="s">
        <v>28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</row>
    <row r="4" spans="1:16" x14ac:dyDescent="0.2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</row>
    <row r="5" spans="1:16" x14ac:dyDescent="0.25">
      <c r="A5" s="30" t="s">
        <v>27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</row>
    <row r="6" spans="1:16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 x14ac:dyDescent="0.25">
      <c r="A7" s="31" t="s">
        <v>31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1:16" x14ac:dyDescent="0.25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</row>
    <row r="9" spans="1:16" x14ac:dyDescent="0.25">
      <c r="A9" s="32" t="s">
        <v>32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 x14ac:dyDescent="0.25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 x14ac:dyDescent="0.25">
      <c r="A11" s="33" t="s">
        <v>33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</row>
    <row r="12" spans="1:16" x14ac:dyDescent="0.25">
      <c r="A12" s="33"/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</row>
    <row r="13" spans="1:16" x14ac:dyDescent="0.25">
      <c r="A13" s="34" t="s">
        <v>34</v>
      </c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</row>
    <row r="14" spans="1:16" x14ac:dyDescent="0.25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</row>
    <row r="15" spans="1:16" x14ac:dyDescent="0.25">
      <c r="A15" s="35" t="s">
        <v>29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</row>
    <row r="16" spans="1:16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</row>
    <row r="17" spans="1:16" x14ac:dyDescent="0.25">
      <c r="A17" s="36" t="s">
        <v>30</v>
      </c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</row>
    <row r="18" spans="1:16" x14ac:dyDescent="0.25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</row>
    <row r="19" spans="1:16" x14ac:dyDescent="0.25">
      <c r="A19" s="39" t="s">
        <v>35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A21" s="30" t="s">
        <v>37</v>
      </c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</row>
    <row r="22" spans="1:16" x14ac:dyDescent="0.25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</row>
    <row r="23" spans="1:16" x14ac:dyDescent="0.25">
      <c r="A23" s="40" t="s">
        <v>36</v>
      </c>
      <c r="B23" s="4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</row>
    <row r="24" spans="1:16" x14ac:dyDescent="0.25">
      <c r="A24" s="40"/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</row>
    <row r="25" spans="1:16" x14ac:dyDescent="0.25">
      <c r="A25" s="29" t="s">
        <v>38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</row>
    <row r="26" spans="1:16" x14ac:dyDescent="0.2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</row>
    <row r="27" spans="1:16" x14ac:dyDescent="0.25">
      <c r="A27" s="41" t="s">
        <v>39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</row>
    <row r="28" spans="1:16" x14ac:dyDescent="0.25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</row>
    <row r="29" spans="1:16" x14ac:dyDescent="0.25">
      <c r="A29" s="37" t="s">
        <v>40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</row>
    <row r="30" spans="1:16" x14ac:dyDescent="0.2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</row>
    <row r="31" spans="1:16" x14ac:dyDescent="0.25">
      <c r="A31" s="38" t="s">
        <v>41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</row>
    <row r="32" spans="1:16" x14ac:dyDescent="0.25">
      <c r="A32" s="38"/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</row>
  </sheetData>
  <mergeCells count="17">
    <mergeCell ref="A29:P30"/>
    <mergeCell ref="A31:P32"/>
    <mergeCell ref="A19:P20"/>
    <mergeCell ref="A21:P22"/>
    <mergeCell ref="A23:P24"/>
    <mergeCell ref="A25:P26"/>
    <mergeCell ref="A27:P28"/>
    <mergeCell ref="A9:P10"/>
    <mergeCell ref="A11:P12"/>
    <mergeCell ref="A13:P14"/>
    <mergeCell ref="A15:P16"/>
    <mergeCell ref="A17:P18"/>
    <mergeCell ref="A1:P1"/>
    <mergeCell ref="A3:P4"/>
    <mergeCell ref="A2:P2"/>
    <mergeCell ref="A5:P6"/>
    <mergeCell ref="A7:P8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Amarelo</vt:lpstr>
      <vt:lpstr>Verde</vt:lpstr>
      <vt:lpstr>Vermelho</vt:lpstr>
      <vt:lpstr>Laranja</vt:lpstr>
      <vt:lpstr>Azul</vt:lpstr>
      <vt:lpstr>Cardiorrespiratório</vt:lpstr>
      <vt:lpstr>Sistemas e Métodos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55119</dc:creator>
  <cp:lastModifiedBy>Vitor Moraes</cp:lastModifiedBy>
  <dcterms:created xsi:type="dcterms:W3CDTF">2020-08-16T23:19:42Z</dcterms:created>
  <dcterms:modified xsi:type="dcterms:W3CDTF">2026-04-07T22:06:35Z</dcterms:modified>
</cp:coreProperties>
</file>